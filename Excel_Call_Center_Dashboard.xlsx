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34DC8DDB-32F8-4736-96BA-317B6C35367F}" xr6:coauthVersionLast="47" xr6:coauthVersionMax="47" xr10:uidLastSave="{00000000-0000-0000-0000-000000000000}"/>
  <bookViews>
    <workbookView xWindow="-108" yWindow="-108" windowWidth="23256" windowHeight="12456" activeTab="4" xr2:uid="{26D4546B-D2A1-4444-8EAF-A6228F96F0C1}"/>
  </bookViews>
  <sheets>
    <sheet name="Sheet1" sheetId="7" r:id="rId1"/>
    <sheet name="Sheet2" sheetId="8" r:id="rId2"/>
    <sheet name="Pivots" sheetId="6" r:id="rId3"/>
    <sheet name="Data" sheetId="2" r:id="rId4"/>
    <sheet name="Customer Center Report" sheetId="5" r:id="rId5"/>
    <sheet name="Assets" sheetId="4" r:id="rId6"/>
  </sheets>
  <definedNames>
    <definedName name="_xlnm._FilterDatabase" localSheetId="3" hidden="1">Data!$B$3:$H$1003</definedName>
    <definedName name="_xlcn.WorksheetConnection_sampledataexcelportfolioproject.xlsxcalls1" hidden="1">calls[]</definedName>
    <definedName name="_xlcn.WorksheetConnection_sampledataexcelportfolioproject.xlsxcustomers1" hidden="1">customers[]</definedName>
    <definedName name="ExternalData_1" localSheetId="0" hidden="1">Sheet1!$A$3:$M$329</definedName>
    <definedName name="ExternalData_1" localSheetId="1" hidden="1">Sheet2!$A$3:$M$602</definedName>
    <definedName name="Slicer_Representative">#N/A</definedName>
  </definedNames>
  <calcPr calcId="191029"/>
  <pivotCaches>
    <pivotCache cacheId="61" r:id="rId7"/>
    <pivotCache cacheId="181" r:id="rId8"/>
    <pivotCache cacheId="918" r:id="rId9"/>
    <pivotCache cacheId="1109" r:id="rId10"/>
    <pivotCache cacheId="1487" r:id="rId11"/>
    <pivotCache cacheId="1490" r:id="rId12"/>
    <pivotCache cacheId="1493" r:id="rId13"/>
    <pivotCache cacheId="1496" r:id="rId14"/>
    <pivotCache cacheId="1499" r:id="rId15"/>
  </pivotCaches>
  <extLst>
    <ext xmlns:x14="http://schemas.microsoft.com/office/spreadsheetml/2009/9/main" uri="{876F7934-8845-4945-9796-88D515C7AA90}">
      <x14:pivotCaches>
        <pivotCache cacheId="54"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6" i="6" l="1"/>
  <c r="J25" i="5" s="1"/>
  <c r="L46" i="6"/>
  <c r="L49" i="6" s="1"/>
  <c r="L54" i="6" s="1"/>
  <c r="K31" i="5" s="1"/>
  <c r="L45" i="6"/>
  <c r="L48" i="6" s="1"/>
  <c r="L53" i="6" s="1"/>
  <c r="K30" i="5" s="1"/>
  <c r="L43" i="6"/>
  <c r="L52" i="6" s="1"/>
  <c r="K29" i="5" s="1"/>
  <c r="N14" i="5" a="1"/>
  <c r="N14" i="5" s="1"/>
  <c r="M15" i="5" a="1"/>
  <c r="M15" i="5" s="1"/>
  <c r="H28" i="6"/>
  <c r="I31"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32" i="6" l="1"/>
  <c r="I34" i="6"/>
  <c r="H31" i="6"/>
  <c r="I33" i="6"/>
  <c r="H34" i="6"/>
  <c r="H30" i="6"/>
  <c r="I32" i="6"/>
  <c r="H33" i="6"/>
  <c r="I3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16DAF3-56E7-4FC0-86A0-94AAB748EAB9}" keepAlive="1" name="ModelConnection_ExternalData_1" description="Data Model" type="5" refreshedVersion="8" minRefreshableVersion="5" saveData="1">
    <dbPr connection="Data Model Connection" command="DRILLTHROUGH MAXROWS 1000 SELECT FROM [Model] WHERE ((([Measures].[Call Count],[customers].[City].&amp;[Cleveland]),[customers].[Gender].&amp;[Female]))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E331691B-FF1B-40F7-989C-119001E0EB54}" keepAlive="1" name="ModelConnection_ExternalData_11" description="Data Model" type="5" refreshedVersion="8" minRefreshableVersion="5" saveData="1">
    <dbPr connection="Data Model Connection" command="DRILLTHROUGH MAXROWS 1000 SELECT FROM [Model] WHERE (([Measures].[Call Count],[customers].[Gender].&amp;[Female]))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3" xr16:uid="{3370F5AE-2845-4D0D-B3F8-63C40C0FE2A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33949F92-2EEA-458D-AD1A-5AED20F04DBF}"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5" xr16:uid="{CBCEBFE0-0A92-40DA-8492-82F54C8818D0}"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<sst xmlns="http://schemas.openxmlformats.org/spreadsheetml/2006/main" count="8753" uniqueCount="1103">
  <si>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</si>
  <si>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</si>
  <si>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</si>
  <si>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</si>
  <si>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</si>
  <si>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</si>
  <si>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</si>
  <si>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</si>
  <si>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</si>
  <si>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</si>
  <si>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</si>
  <si>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</si>
  <si>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</si>
  <si>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</si>
  <si>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</si>
  <si>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</si>
  <si>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</si>
  <si>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</si>
  <si>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</si>
  <si>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</si>
  <si>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</si>
  <si>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</si>
  <si>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</si>
  <si>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</si>
  <si>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</si>
  <si>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</si>
  <si>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</si>
  <si>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</si>
  <si>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</si>
  <si>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</si>
  <si>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</si>
  <si>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</si>
  <si>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</si>
  <si>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</si>
  <si>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</si>
  <si>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</si>
  <si>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</si>
  <si>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</si>
  <si>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</si>
  <si>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</si>
  <si>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</si>
  <si>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</si>
  <si>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</si>
  <si>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</si>
  <si>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</si>
  <si>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</si>
  <si>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</si>
  <si>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</si>
  <si>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</si>
  <si>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</si>
  <si>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</si>
  <si>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</si>
  <si>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</si>
  <si>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</si>
  <si>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</si>
  <si>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</si>
  <si>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</si>
  <si>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</si>
  <si>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</si>
  <si>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</si>
  <si>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</si>
  <si>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</si>
  <si>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</si>
  <si>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</si>
  <si>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</si>
  <si>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</si>
  <si>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</si>
  <si>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</si>
  <si>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</si>
  <si>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</si>
  <si>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</si>
  <si>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</si>
  <si>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</si>
  <si>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</si>
  <si>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</si>
  <si>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</si>
  <si>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</si>
  <si>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</si>
  <si>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</si>
  <si>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</si>
  <si>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</si>
  <si>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</si>
  <si>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</si>
  <si>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</si>
  <si>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</si>
  <si>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</si>
  <si>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</si>
  <si>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</si>
  <si>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</si>
  <si>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</si>
  <si>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</si>
  <si>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</si>
  <si>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</si>
  <si>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</si>
  <si>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</si>
  <si>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</si>
  <si>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</si>
  <si>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</si>
  <si>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</si>
  <si>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</si>
  <si>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</si>
  <si>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</si>
  <si>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</si>
  <si>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</si>
  <si>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</si>
  <si>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</si>
  <si>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</si>
  <si>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</si>
  <si>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</si>
  <si>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</si>
  <si>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</si>
  <si>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</si>
  <si>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</si>
  <si>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</si>
  <si>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</si>
  <si>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</si>
  <si>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</si>
  <si>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</si>
  <si>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</si>
  <si>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</si>
  <si>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</si>
  <si>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</si>
  <si>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</si>
  <si>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</si>
  <si>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</si>
  <si>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</si>
  <si>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</si>
  <si>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</si>
  <si>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</si>
  <si>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</si>
  <si>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</si>
  <si>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</si>
  <si>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</si>
  <si>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</si>
  <si>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</si>
  <si>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</si>
  <si>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</si>
  <si>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</si>
  <si>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</si>
  <si>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</si>
  <si>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</si>
  <si>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</si>
  <si>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</si>
  <si>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</si>
  <si>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</si>
  <si>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</si>
  <si>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</si>
  <si>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</si>
  <si>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</si>
  <si>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</si>
  <si>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</si>
  <si>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</si>
  <si>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</si>
  <si>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</si>
  <si>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</si>
  <si>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</si>
  <si>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</si>
  <si>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</si>
  <si>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</si>
  <si>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</si>
  <si>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</si>
  <si>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</si>
  <si>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</si>
  <si>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</si>
  <si>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</si>
  <si>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</si>
  <si>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</si>
  <si>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</si>
  <si>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</si>
  <si>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</si>
  <si>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</si>
  <si>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</si>
  <si>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</si>
  <si>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</si>
  <si>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</si>
  <si>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</si>
  <si>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</si>
  <si>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</si>
  <si>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</si>
  <si>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</si>
  <si>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</si>
  <si>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</si>
  <si>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</si>
  <si>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</si>
  <si>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</si>
  <si>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</si>
  <si>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</si>
  <si>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</si>
  <si>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</si>
  <si>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</si>
  <si>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</si>
  <si>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</si>
  <si>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</si>
  <si>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</si>
  <si>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</si>
  <si>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</si>
  <si>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</si>
  <si>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</si>
  <si>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</si>
  <si>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</si>
  <si>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</si>
  <si>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</si>
  <si>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</si>
  <si>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</si>
  <si>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</si>
  <si>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</si>
  <si>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</si>
  <si>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</si>
  <si>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</si>
  <si>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</si>
  <si>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</si>
  <si>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</si>
  <si>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</si>
  <si>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</si>
  <si>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</si>
  <si>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</si>
  <si>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</si>
  <si>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</si>
  <si>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</si>
  <si>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</si>
  <si>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</si>
  <si>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</si>
  <si>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</si>
  <si>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</si>
  <si>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</si>
  <si>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</si>
  <si>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</si>
  <si>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</si>
  <si>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</si>
  <si>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</si>
  <si>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</si>
  <si>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</si>
  <si>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</si>
  <si>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</si>
  <si>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</si>
  <si>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</si>
  <si>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</si>
  <si>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</si>
  <si>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</si>
  <si>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</si>
  <si>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</si>
  <si>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</si>
  <si>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</si>
  <si>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</si>
  <si>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</si>
  <si>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</si>
  <si>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</si>
  <si>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</si>
  <si>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</si>
  <si>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</si>
  <si>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</si>
  <si>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</si>
  <si>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</si>
  <si>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</si>
  <si>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</si>
  <si>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</si>
  <si>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</si>
  <si>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</si>
  <si>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</si>
  <si>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</si>
  <si>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</si>
  <si>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</si>
  <si>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</si>
  <si>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</si>
  <si>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</si>
  <si>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</si>
  <si>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</si>
  <si>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</si>
  <si>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</si>
  <si>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</si>
  <si>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</si>
  <si>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</si>
  <si>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</si>
  <si>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</si>
  <si>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</si>
  <si>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</si>
  <si>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</si>
  <si>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</si>
  <si>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</si>
  <si>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</si>
  <si>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</si>
  <si>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</si>
  <si>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</si>
  <si>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</si>
  <si>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</si>
  <si>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</si>
  <si>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</si>
  <si>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</si>
  <si>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</si>
  <si>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</si>
  <si>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</si>
  <si>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</si>
  <si>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</si>
  <si>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</si>
  <si>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</si>
  <si>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</si>
  <si>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</si>
  <si>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</si>
  <si>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</si>
  <si>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</si>
  <si>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</si>
  <si>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</si>
  <si>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</si>
  <si>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</si>
  <si>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</si>
  <si>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</si>
  <si>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</si>
  <si>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</si>
  <si>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</si>
  <si>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</si>
  <si>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</si>
  <si>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</si>
  <si>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</si>
  <si>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</si>
  <si>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</si>
  <si>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</si>
  <si>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</si>
  <si>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</si>
  <si>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</si>
  <si>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</si>
  <si>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</si>
  <si>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</si>
  <si>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</si>
  <si>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</si>
  <si>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</si>
  <si>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</si>
  <si>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</si>
  <si>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</si>
  <si>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</si>
  <si>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</si>
  <si>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</si>
  <si>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</si>
  <si>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</si>
  <si>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</si>
  <si>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</si>
  <si>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</si>
  <si>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</si>
  <si>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</si>
  <si>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</si>
  <si>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</si>
  <si>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</si>
  <si>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</si>
  <si>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</si>
  <si>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</si>
  <si>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</si>
  <si>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</si>
  <si>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</si>
  <si>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</si>
  <si>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</si>
  <si>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</si>
  <si>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</si>
  <si>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</si>
  <si>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</si>
  <si>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</si>
  <si>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</si>
  <si>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</si>
  <si>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</si>
  <si>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</si>
  <si>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</si>
  <si>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</si>
  <si>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</si>
  <si>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</si>
  <si>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</si>
  <si>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</si>
  <si>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</si>
  <si>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</si>
  <si>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</si>
  <si>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</si>
  <si>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</si>
  <si>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</si>
  <si>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</si>
  <si>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</si>
  <si>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</si>
  <si>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</si>
  <si>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</si>
  <si>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</si>
  <si>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</si>
  <si>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</si>
  <si>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</si>
  <si>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</si>
  <si>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</si>
  <si>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</si>
  <si>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</si>
  <si>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</si>
  <si>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</si>
  <si>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</si>
  <si>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</si>
  <si>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</si>
  <si>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</si>
  <si>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</si>
  <si>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</si>
  <si>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</si>
  <si>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</si>
  <si>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</si>
  <si>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</si>
  <si>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</si>
  <si>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</si>
  <si>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</si>
  <si>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</si>
  <si>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</si>
  <si>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</si>
  <si>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</si>
  <si>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</si>
  <si>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</si>
  <si>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</si>
  <si>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</si>
  <si>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</si>
  <si>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</si>
  <si>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</si>
  <si>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</si>
  <si>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</si>
  <si>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</si>
  <si>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</si>
  <si>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</si>
  <si>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</si>
  <si>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</si>
  <si>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</si>
  <si>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</si>
  <si>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</si>
  <si>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</si>
  <si>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</si>
  <si>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</si>
  <si>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</si>
  <si>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</si>
  <si>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</si>
  <si>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</si>
  <si>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</si>
  <si>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</si>
  <si>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</si>
  <si>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</si>
  <si>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</si>
  <si>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</si>
  <si>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</si>
  <si>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</si>
  <si>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</si>
  <si>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</si>
  <si>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</si>
  <si>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</si>
  <si>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</si>
  <si>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</si>
  <si>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</si>
  <si>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</si>
  <si>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</si>
  <si>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</si>
  <si>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</si>
  <si>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</si>
  <si>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</si>
  <si>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</si>
  <si>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</si>
  <si>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</si>
  <si>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</si>
  <si>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</si>
  <si>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</si>
  <si>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</si>
  <si>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</si>
  <si>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</si>
  <si>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</si>
  <si>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</si>
  <si>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</si>
  <si>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</si>
  <si>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</si>
  <si>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</si>
  <si>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</si>
  <si>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</si>
  <si>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</si>
  <si>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</si>
  <si>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</si>
  <si>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</si>
  <si>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</si>
  <si>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</si>
  <si>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</si>
  <si>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</si>
  <si>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</si>
  <si>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</si>
  <si>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</si>
  <si>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</si>
  <si>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</si>
  <si>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</si>
  <si>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</si>
  <si>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</si>
  <si>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</si>
  <si>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</si>
  <si>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</si>
  <si>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</si>
  <si>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</si>
  <si>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</si>
  <si>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</si>
  <si>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</si>
  <si>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</si>
  <si>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</si>
  <si>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</si>
  <si>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</si>
  <si>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</si>
  <si>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</si>
  <si>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</si>
  <si>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</si>
  <si>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</si>
  <si>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</si>
  <si>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</si>
  <si>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</si>
  <si>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</si>
  <si>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</si>
  <si>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</si>
  <si>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</si>
  <si>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</si>
  <si>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</si>
  <si>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</si>
  <si>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</si>
  <si>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</si>
  <si>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</si>
  <si>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</si>
  <si>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</si>
  <si>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</si>
  <si>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</si>
  <si>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</si>
  <si>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</si>
  <si>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</si>
  <si>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</si>
  <si>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</si>
  <si>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</si>
  <si>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</si>
  <si>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</si>
  <si>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</si>
  <si>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</si>
  <si>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</si>
  <si>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</si>
  <si>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</si>
  <si>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</si>
  <si>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</si>
  <si>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</si>
  <si>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</si>
  <si>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</si>
  <si>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</si>
  <si>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</si>
  <si>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</si>
  <si>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</si>
  <si>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</si>
  <si>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</si>
  <si>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</si>
  <si>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</si>
  <si>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</si>
  <si>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</si>
  <si>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</si>
  <si>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</si>
  <si>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</si>
  <si>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</si>
  <si>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</si>
  <si>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</si>
  <si>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</si>
  <si>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</si>
  <si>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</si>
  <si>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</si>
  <si>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</si>
  <si>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</si>
  <si>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</si>
  <si>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</si>
  <si>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</si>
  <si>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</si>
  <si>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</si>
  <si>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</si>
  <si>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</si>
  <si>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</si>
  <si>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</si>
  <si>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</si>
  <si>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</si>
  <si>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</si>
  <si>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</si>
  <si>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</si>
  <si>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</si>
  <si>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</si>
  <si>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</si>
  <si>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</si>
  <si>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</si>
  <si>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</si>
  <si>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</si>
  <si>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</si>
  <si>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</si>
  <si>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</si>
  <si>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</si>
  <si>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</si>
  <si>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</si>
  <si>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</si>
  <si>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</si>
  <si>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</si>
  <si>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</si>
  <si>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</si>
  <si>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</si>
  <si>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</si>
  <si>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</si>
  <si>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</si>
  <si>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</si>
  <si>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</si>
  <si>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</si>
  <si>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</si>
  <si>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</si>
  <si>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</si>
  <si>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</si>
  <si>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</si>
  <si>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</si>
  <si>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</si>
  <si>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</si>
  <si>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</si>
  <si>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</si>
  <si>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</si>
  <si>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</si>
  <si>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</si>
  <si>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</si>
  <si>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</si>
  <si>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</si>
  <si>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</si>
  <si>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</si>
  <si>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</si>
  <si>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</si>
  <si>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</si>
  <si>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</si>
  <si>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</si>
  <si>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</si>
  <si>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</si>
  <si>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</si>
  <si>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</si>
  <si>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</si>
  <si>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</si>
  <si>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</si>
  <si>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</si>
  <si>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</si>
  <si>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</si>
  <si>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</si>
  <si>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</si>
  <si>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</si>
  <si>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</si>
  <si>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</si>
  <si>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</si>
  <si>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</si>
  <si>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</si>
  <si>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</si>
  <si>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</si>
  <si>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</si>
  <si>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</si>
  <si>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</si>
  <si>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</si>
  <si>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</si>
  <si>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</si>
  <si>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</si>
  <si>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</si>
  <si>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</si>
  <si>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</si>
  <si>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</si>
  <si>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</si>
  <si>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</si>
  <si>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</si>
  <si>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</si>
  <si>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</si>
  <si>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</si>
  <si>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</si>
  <si>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</si>
  <si>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</si>
  <si>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</si>
  <si>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</si>
  <si>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</si>
  <si>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</si>
  <si>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</si>
  <si>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</si>
  <si>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</si>
  <si>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</si>
  <si>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</si>
  <si>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</si>
  <si>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</si>
  <si>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</si>
  <si>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</si>
  <si>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</si>
  <si>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</si>
  <si>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</si>
  <si>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</si>
  <si>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</si>
  <si>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</si>
  <si>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</si>
  <si>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</si>
  <si>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</si>
  <si>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</si>
  <si>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</si>
  <si>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</si>
  <si>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</si>
  <si>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</si>
  <si>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</si>
  <si>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</si>
  <si>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</si>
  <si>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</si>
  <si>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</si>
  <si>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</si>
  <si>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</si>
  <si>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</si>
  <si>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</si>
  <si>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</si>
  <si>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</si>
  <si>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</si>
  <si>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</si>
  <si>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</si>
  <si>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</si>
  <si>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</si>
  <si>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</si>
  <si>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</si>
  <si>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</si>
  <si>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</si>
  <si>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</si>
  <si>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</si>
  <si>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</si>
  <si>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</si>
  <si>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</si>
  <si>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</si>
  <si>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</si>
  <si>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</si>
  <si>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</si>
  <si>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</si>
  <si>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</si>
  <si>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</si>
  <si>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</si>
  <si>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</si>
  <si>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</si>
  <si>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</si>
  <si>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</si>
  <si>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</si>
  <si>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</si>
  <si>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</si>
  <si>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</si>
  <si>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</si>
  <si>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</si>
  <si>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</si>
  <si>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</si>
  <si>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</si>
  <si>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</si>
  <si>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</si>
  <si>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</si>
  <si>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</si>
  <si>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</si>
  <si>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</si>
  <si>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</si>
  <si>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</si>
  <si>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</si>
  <si>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</si>
  <si>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</si>
  <si>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</si>
  <si>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</si>
  <si>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</si>
  <si>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</si>
  <si>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</si>
  <si>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</si>
  <si>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</si>
  <si>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</si>
  <si>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</si>
  <si>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</si>
  <si>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</si>
  <si>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</si>
  <si>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</si>
  <si>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</si>
  <si>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</si>
  <si>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</si>
  <si>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</si>
  <si>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</si>
  <si>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</si>
  <si>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</si>
  <si>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</si>
  <si>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</si>
  <si>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</si>
  <si>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</si>
  <si>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</si>
  <si>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</si>
  <si>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</si>
  <si>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</si>
  <si>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</si>
  <si>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</si>
  <si>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</si>
  <si>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</si>
  <si>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</si>
  <si>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</si>
  <si>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</si>
  <si>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</si>
  <si>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</si>
  <si>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</si>
  <si>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</si>
  <si>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</si>
  <si>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</si>
  <si>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</si>
  <si>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</si>
  <si>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</si>
  <si>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</si>
  <si>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</si>
  <si>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</si>
  <si>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</si>
  <si>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</si>
  <si>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</si>
  <si>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</si>
  <si>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</si>
  <si>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</si>
  <si>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</si>
  <si>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</si>
  <si>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</si>
  <si>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</si>
  <si>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</si>
  <si>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</si>
  <si>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</si>
  <si>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</si>
  <si>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</si>
  <si>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</si>
  <si>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</si>
  <si>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</si>
  <si>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</si>
  <si>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</si>
  <si>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</si>
  <si>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</si>
  <si>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</si>
  <si>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</si>
  <si>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</si>
  <si>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</si>
  <si>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</si>
  <si>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</si>
  <si>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</si>
  <si>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</si>
  <si>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</si>
  <si>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</si>
  <si>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</si>
  <si>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</si>
  <si>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</si>
  <si>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</si>
  <si>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</si>
  <si>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</si>
  <si>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</si>
  <si>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</si>
  <si>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</si>
  <si>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</si>
  <si>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</si>
  <si>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</si>
  <si>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</si>
  <si>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</si>
  <si>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</si>
  <si>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</si>
  <si>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</si>
  <si>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</si>
  <si>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</si>
  <si>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</si>
  <si>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</si>
  <si>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</si>
  <si>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</si>
  <si>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</si>
  <si>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</si>
  <si>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</si>
  <si>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</si>
  <si>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</si>
  <si>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</si>
  <si>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</si>
  <si>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</si>
  <si>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</si>
  <si>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</si>
  <si>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</si>
  <si>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</si>
  <si>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</si>
  <si>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</si>
  <si>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</si>
  <si>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</si>
  <si>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</si>
  <si>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</si>
  <si>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</si>
  <si>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</si>
  <si>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</si>
  <si>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</si>
  <si>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</si>
  <si>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</si>
  <si>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</si>
  <si>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</si>
  <si>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</si>
  <si>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</si>
  <si>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</si>
  <si>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</si>
  <si>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</si>
  <si>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</si>
  <si>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</si>
  <si>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</si>
  <si>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</si>
  <si>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</si>
  <si>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</si>
  <si>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</si>
  <si>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</si>
  <si>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</si>
  <si>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</si>
  <si>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</si>
  <si>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</si>
  <si>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</si>
  <si>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</si>
  <si>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</si>
  <si>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</si>
  <si>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</si>
  <si>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</si>
  <si>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</si>
  <si>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</si>
  <si>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</si>
  <si>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</si>
  <si>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</si>
  <si>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</si>
  <si>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</si>
  <si>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</si>
  <si>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</si>
  <si>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</si>
  <si>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</si>
  <si>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</si>
  <si>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</si>
  <si>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</si>
  <si>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</si>
  <si>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</si>
  <si>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</si>
  <si>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</si>
  <si>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</si>
  <si>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</si>
  <si>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</si>
  <si>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</si>
  <si>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</si>
  <si>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</si>
  <si>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</si>
  <si>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</si>
  <si>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</si>
  <si>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</si>
  <si>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</si>
  <si>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</si>
  <si>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</si>
  <si>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</si>
  <si>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</si>
  <si>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</si>
  <si>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</si>
  <si>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</si>
  <si>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</si>
  <si>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</si>
  <si>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</si>
  <si>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</si>
  <si>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</si>
  <si>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</si>
  <si>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</si>
  <si>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</si>
  <si>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</si>
  <si>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</si>
  <si>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</si>
  <si>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</si>
  <si>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</si>
  <si>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</si>
  <si>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</si>
  <si>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</si>
  <si>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</si>
  <si>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</si>
  <si>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</si>
  <si>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</si>
  <si>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</si>
  <si>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</si>
  <si>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</si>
  <si>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</si>
  <si>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</si>
  <si>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</si>
  <si>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</si>
  <si>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</si>
  <si>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</si>
  <si>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</si>
  <si>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</si>
  <si>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</si>
  <si>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</si>
  <si>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</si>
  <si>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</si>
  <si>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</si>
  <si>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</si>
  <si>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</si>
  <si>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</si>
  <si>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</si>
  <si>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</si>
  <si>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</si>
  <si>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</si>
  <si>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</si>
  <si>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</si>
  <si>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</si>
  <si>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</si>
  <si>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</si>
  <si>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</si>
  <si>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</si>
  <si>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</si>
  <si>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</si>
  <si>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</si>
  <si>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</si>
  <si>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</si>
  <si>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</si>
  <si>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</si>
  <si>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</si>
  <si>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</si>
  <si>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</si>
  <si>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</si>
  <si>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</si>
  <si>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</si>
  <si>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</si>
  <si>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</si>
  <si>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</si>
  <si>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</si>
  <si>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</si>
  <si>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</si>
  <si>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</si>
  <si>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</si>
  <si>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</si>
  <si>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</si>
  <si>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</si>
  <si>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</si>
  <si>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</si>
  <si>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</si>
  <si>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</si>
  <si>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</si>
  <si>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</si>
  <si>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</si>
  <si>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</si>
  <si>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</si>
  <si>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</si>
  <si>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</si>
  <si>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</si>
  <si>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</si>
  <si>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</si>
  <si>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</si>
  <si>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</si>
  <si>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</si>
  <si>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</si>
  <si>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</si>
  <si>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</si>
  <si>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</si>
  <si>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</si>
  <si>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</si>
  <si>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</si>
  <si>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</si>
  <si>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</si>
  <si>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</si>
  <si>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</si>
  <si>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</si>
  <si>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</si>
  <si>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</si>
  <si>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</si>
  <si>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</si>
  <si>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</si>
  <si>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</si>
  <si>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</si>
  <si>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</si>
  <si>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</si>
  <si>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</si>
  <si>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</si>
  <si>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Gender</t>
  </si>
  <si>
    <t>Call Count</t>
  </si>
  <si>
    <t>Total Amount</t>
  </si>
  <si>
    <t>Total Duration</t>
  </si>
  <si>
    <t>Avg.Rating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</si>
  <si>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</si>
  <si>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</si>
  <si>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</si>
  <si>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</si>
  <si>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</si>
  <si>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</si>
  <si>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</si>
  <si>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</si>
  <si>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</si>
  <si>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</si>
  <si>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</si>
  <si>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</si>
  <si>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</si>
  <si>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</si>
  <si>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</si>
  <si>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</si>
  <si>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</si>
  <si>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</si>
  <si>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</si>
  <si>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</si>
  <si>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</si>
  <si>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</si>
  <si>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</si>
  <si>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sel.amount</t>
  </si>
  <si>
    <t>Rep</t>
  </si>
  <si>
    <t>sel.calls</t>
  </si>
  <si>
    <t>Amount</t>
  </si>
  <si>
    <t>Column Labels</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</si>
  <si>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</si>
  <si>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</si>
  <si>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</si>
  <si>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</si>
  <si>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</si>
  <si>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</si>
  <si>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</si>
  <si>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</si>
  <si>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</si>
  <si>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</si>
  <si>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</si>
  <si>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</si>
  <si>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</si>
  <si>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1 to 2 hours</t>
  </si>
  <si>
    <t>30 to 60 mins</t>
  </si>
  <si>
    <t>More than 2 hours</t>
  </si>
  <si>
    <t>Under 10 mins</t>
  </si>
  <si>
    <t>10 to 30 mins</t>
  </si>
  <si>
    <t>Data returned for Call Count, Cleveland, Female (First 1000 rows).</t>
  </si>
  <si>
    <t>Data returned for Call Count, Female (First 1000 rows).</t>
  </si>
  <si>
    <t>Total</t>
  </si>
  <si>
    <t>Rep Summary</t>
  </si>
  <si>
    <t>% of calls</t>
  </si>
  <si>
    <t>Amount Rank</t>
  </si>
  <si>
    <t>Calls</t>
  </si>
  <si>
    <t>Call Rank</t>
  </si>
  <si>
    <t>Labels:</t>
  </si>
  <si>
    <t>Image:</t>
  </si>
  <si>
    <t>CALL CENTRE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</si>
</sst>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0.00\);\$#,##0.00"/>
    <numFmt numFmtId="166" formatCode="0.0"/>
    <numFmt numFmtId="167" formatCode="&quot;$&quot;#,##0"/>
    <numFmt numFmtId="169" formatCode="&quot;$&quot;#,###.0,&quot;k&quot;"/>
  </numFmts>
  <fonts count="8"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
      <sz val="11"/>
      <color theme="1"/>
      <name val="Aptos"/>
      <family val="2"/>
      <scheme val="minor"/>
    </font>
    <font>
      <b/>
      <sz val="10"/>
      <color theme="1"/>
      <name val="Aptos"/>
      <family val="2"/>
      <scheme val="minor"/>
    </font>
    <font>
      <b/>
      <sz val="13"/>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rgb="FFFF9900"/>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s>
  <cellStyleXfs count="2">
    <xf numFmtId="0" fontId="0" fillId="0" borderId="0"/>
    <xf numFmtId="9" fontId="5" fillId="0" borderId="0" applyFont="0" applyFill="0" applyBorder="0" applyAlignment="0" applyProtection="0"/>
  </cellStyleXfs>
  <cellXfs count="5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4" fillId="3" borderId="0" xfId="0" applyFont="1" applyFill="1"/>
    <xf numFmtId="167" fontId="0" fillId="0" borderId="0" xfId="0" applyNumberFormat="1"/>
    <xf numFmtId="0" fontId="1" fillId="3" borderId="0" xfId="0" applyFont="1" applyFill="1"/>
    <xf numFmtId="0" fontId="0" fillId="0" borderId="0" xfId="0" pivotButton="1"/>
    <xf numFmtId="0" fontId="0" fillId="0" borderId="0" xfId="0" applyAlignment="1">
      <alignment horizontal="left"/>
    </xf>
    <xf numFmtId="0" fontId="0" fillId="0" borderId="0" xfId="0" applyNumberFormat="1"/>
    <xf numFmtId="169" fontId="0" fillId="0" borderId="0" xfId="0" applyNumberFormat="1"/>
    <xf numFmtId="0" fontId="0" fillId="4" borderId="0" xfId="0" applyFill="1" applyAlignment="1">
      <alignment horizontal="left"/>
    </xf>
    <xf numFmtId="14" fontId="0" fillId="0" borderId="0" xfId="0" applyNumberFormat="1"/>
    <xf numFmtId="0" fontId="0" fillId="0" borderId="0" xfId="0" applyAlignment="1">
      <alignment horizontal="left" indent="1"/>
    </xf>
    <xf numFmtId="0" fontId="0" fillId="5" borderId="10" xfId="0" applyFill="1" applyBorder="1"/>
    <xf numFmtId="0" fontId="4" fillId="5" borderId="0" xfId="0" applyFont="1" applyFill="1" applyBorder="1"/>
    <xf numFmtId="0" fontId="4" fillId="5" borderId="14" xfId="0" applyFont="1" applyFill="1" applyBorder="1"/>
    <xf numFmtId="0" fontId="4" fillId="5" borderId="13" xfId="0" applyFont="1" applyFill="1" applyBorder="1" applyAlignment="1">
      <alignment horizontal="left" indent="1"/>
    </xf>
    <xf numFmtId="167" fontId="4" fillId="5" borderId="0" xfId="0" applyNumberFormat="1" applyFont="1" applyFill="1" applyBorder="1"/>
    <xf numFmtId="167" fontId="4" fillId="5" borderId="14" xfId="0" applyNumberFormat="1" applyFont="1" applyFill="1" applyBorder="1"/>
    <xf numFmtId="0" fontId="4" fillId="5" borderId="15" xfId="0" applyFont="1" applyFill="1" applyBorder="1" applyAlignment="1">
      <alignment horizontal="left" indent="1"/>
    </xf>
    <xf numFmtId="167" fontId="4" fillId="5" borderId="16" xfId="0" applyNumberFormat="1" applyFont="1" applyFill="1" applyBorder="1"/>
    <xf numFmtId="167" fontId="4" fillId="5" borderId="17" xfId="0" applyNumberFormat="1" applyFont="1" applyFill="1" applyBorder="1"/>
    <xf numFmtId="0" fontId="1" fillId="5" borderId="11" xfId="0" applyFont="1" applyFill="1" applyBorder="1" applyAlignment="1">
      <alignment horizontal="right"/>
    </xf>
    <xf numFmtId="0" fontId="1" fillId="5" borderId="12" xfId="0" applyFont="1" applyFill="1" applyBorder="1" applyAlignment="1">
      <alignment horizontal="right"/>
    </xf>
    <xf numFmtId="0" fontId="6" fillId="5" borderId="13" xfId="0" applyFont="1" applyFill="1" applyBorder="1" applyAlignment="1"/>
    <xf numFmtId="9" fontId="0" fillId="0" borderId="0" xfId="1" applyFont="1"/>
    <xf numFmtId="0" fontId="0" fillId="3" borderId="0" xfId="0" applyFill="1" applyAlignment="1">
      <alignment horizontal="center" vertical="top"/>
    </xf>
    <xf numFmtId="0" fontId="0" fillId="3" borderId="14" xfId="0" applyFill="1" applyBorder="1" applyAlignment="1">
      <alignment horizontal="center" vertical="top"/>
    </xf>
    <xf numFmtId="0" fontId="4" fillId="3" borderId="0" xfId="0" applyFont="1" applyFill="1" applyAlignment="1">
      <alignment horizontal="center"/>
    </xf>
    <xf numFmtId="0" fontId="4" fillId="3" borderId="14" xfId="0" applyFont="1" applyFill="1" applyBorder="1" applyAlignment="1">
      <alignment horizontal="center"/>
    </xf>
    <xf numFmtId="0" fontId="7" fillId="3" borderId="0" xfId="0" applyFont="1" applyFill="1"/>
  </cellXfs>
  <cellStyles count="2">
    <cellStyle name="Normal" xfId="0" builtinId="0"/>
    <cellStyle name="Percent" xfId="1" builtinId="5"/>
  </cellStyles>
  <dxfs count="43">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bgColor rgb="FFFBDE75"/>
        </patternFill>
      </fill>
      <border>
        <left style="dashDotDot">
          <color rgb="FFFF9900"/>
        </left>
        <right style="dashDotDot">
          <color rgb="FFFF9900"/>
        </right>
        <vertical/>
        <horizontal/>
      </border>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bgColor rgb="FFF9CE2F"/>
        </patternFill>
      </fill>
      <border>
        <left style="dashDotDot">
          <color rgb="FFFF9900"/>
        </left>
        <right style="dashDotDot">
          <color rgb="FFFF9900"/>
        </right>
        <vertical/>
        <horizontal/>
      </border>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numFmt numFmtId="19" formatCode="m/d/yyyy"/>
    </dxf>
    <dxf>
      <numFmt numFmtId="19" formatCode="m/d/yyyy"/>
    </dxf>
    <dxf>
      <fill>
        <patternFill>
          <bgColor rgb="FFFFC000"/>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42"/>
    </tableStyle>
    <tableStyle name="Slicer Style 2" pivot="0" table="0" count="1" xr9:uid="{FB714730-2FF4-42F6-9518-6808A89B54BC}">
      <tableStyleElement type="wholeTable" dxfId="27"/>
    </tableStyle>
  </tableStyles>
  <colors>
    <mruColors>
      <color rgb="FFFBDE75"/>
      <color rgb="FFF9CE2F"/>
      <color rgb="FFFF9900"/>
      <color rgb="FFE2C9BC"/>
      <color rgb="FFFAD650"/>
      <color rgb="FFFF3300"/>
    </mruColors>
  </colors>
  <extLst>
    <ext xmlns:x14="http://schemas.microsoft.com/office/spreadsheetml/2009/9/main" uri="{EB79DEF2-80B8-43e5-95BD-54CBDDF9020C}">
      <x14:slicerStyles defaultSlicerStyle="SlicerStyleLight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22/10/relationships/richValueRel" Target="richData/richValueRel.xml"/><Relationship Id="rId28" Type="http://schemas.openxmlformats.org/officeDocument/2006/relationships/calcChain" Target="calcChain.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eetMetadata" Target="metadata.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[sample-data-excel-portfolio-project.xlsx]Pivots!PivotTable2</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Pivots!$F$12</c:f>
              <c:strCache>
                <c:ptCount val="1"/>
                <c:pt idx="0">
                  <c:v>Total</c:v>
                </c:pt>
              </c:strCache>
            </c:strRef>
          </c:tx>
          <c:spPr>
            <a:solidFill>
              <a:srgbClr val="FF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Pivots!$E$13:$E$20</c:f>
              <c:strCache>
                <c:ptCount val="7"/>
                <c:pt idx="0">
                  <c:v>Sunday</c:v>
                </c:pt>
                <c:pt idx="1">
                  <c:v>Monday</c:v>
                </c:pt>
                <c:pt idx="2">
                  <c:v>Tuesday</c:v>
                </c:pt>
                <c:pt idx="3">
                  <c:v>Wednesday</c:v>
                </c:pt>
                <c:pt idx="4">
                  <c:v>Thursday</c:v>
                </c:pt>
                <c:pt idx="5">
                  <c:v>Friday</c:v>
                </c:pt>
                <c:pt idx="6">
                  <c:v>Saturday</c:v>
                </c:pt>
              </c:strCache>
            </c:strRef>
          </c:cat>
          <c:val>
            <c:numRef>
              <c:f>Pivots!$F$13:$F$20</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C7AE-4DB3-873F-D0A34001FA0B}"/>
            </c:ext>
          </c:extLst>
        </c:ser>
        <c:dLbls>
          <c:dLblPos val="outEnd"/>
          <c:showLegendKey val="0"/>
          <c:showVal val="1"/>
          <c:showCatName val="0"/>
          <c:showSerName val="0"/>
          <c:showPercent val="0"/>
          <c:showBubbleSize val="0"/>
        </c:dLbls>
        <c:gapWidth val="50"/>
        <c:axId val="1764316095"/>
        <c:axId val="1764317055"/>
      </c:barChart>
      <c:catAx>
        <c:axId val="17643160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317055"/>
        <c:crosses val="autoZero"/>
        <c:auto val="1"/>
        <c:lblAlgn val="ctr"/>
        <c:lblOffset val="100"/>
        <c:noMultiLvlLbl val="0"/>
      </c:catAx>
      <c:valAx>
        <c:axId val="176431705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316095"/>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[sample-data-excel-portfolio-project.xlsx]Pivots!PivotTable1</c:name>
    <c:fmtId val="16"/>
  </c:pivotSource>
  <c:chart>
    <c:title>
      <c:tx>
        <c:rich>
          <a:bodyPr rot="0" spcFirstLastPara="1" vertOverflow="ellipsis" vert="horz" wrap="square" anchor="ctr" anchorCtr="1"/>
          <a:lstStyle/>
          <a:p>
            <a:pPr>
              <a:defRPr sz="1400" b="1" i="0" u="none" strike="noStrike" kern="1200" spc="0" baseline="0">
                <a:solidFill>
                  <a:srgbClr val="FF9900"/>
                </a:solidFill>
                <a:latin typeface="+mn-lt"/>
                <a:ea typeface="+mn-ea"/>
                <a:cs typeface="+mn-cs"/>
              </a:defRPr>
            </a:pPr>
            <a:r>
              <a:rPr lang="en-US" b="1">
                <a:solidFill>
                  <a:srgbClr val="FF9900"/>
                </a:solidFill>
              </a:rPr>
              <a:t>Call Trend</a:t>
            </a:r>
          </a:p>
        </c:rich>
      </c:tx>
      <c:layout>
        <c:manualLayout>
          <c:xMode val="edge"/>
          <c:yMode val="edge"/>
          <c:x val="2.4990945656464453E-2"/>
          <c:y val="2.95138808196957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FF99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FF9900">
                  <a:lumMod val="96000"/>
                  <a:lumOff val="4000"/>
                </a:srgbClr>
              </a:gs>
              <a:gs pos="81000">
                <a:srgbClr val="FAD650">
                  <a:alpha val="75000"/>
                </a:srgbClr>
              </a:gs>
            </a:gsLst>
            <a:lin ang="5400000" scaled="1"/>
            <a:tileRect/>
          </a:gradFill>
          <a:ln>
            <a:solidFill>
              <a:schemeClr val="accent1">
                <a:shade val="15000"/>
                <a:alpha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9900"/>
            </a:solidFill>
            <a:round/>
          </a:ln>
          <a:effectLst/>
        </c:spPr>
        <c:marker>
          <c:symbol val="circle"/>
          <c:size val="5"/>
          <c:spPr>
            <a:solidFill>
              <a:schemeClr val="bg1"/>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Pivots!$C$12</c:f>
              <c:strCache>
                <c:ptCount val="1"/>
                <c:pt idx="0">
                  <c:v>Call Count2</c:v>
                </c:pt>
              </c:strCache>
            </c:strRef>
          </c:tx>
          <c:spPr>
            <a:gradFill flip="none" rotWithShape="1">
              <a:gsLst>
                <a:gs pos="0">
                  <a:srgbClr val="FF9900">
                    <a:lumMod val="96000"/>
                    <a:lumOff val="4000"/>
                  </a:srgbClr>
                </a:gs>
                <a:gs pos="81000">
                  <a:srgbClr val="FAD650">
                    <a:alpha val="75000"/>
                  </a:srgbClr>
                </a:gs>
              </a:gsLst>
              <a:lin ang="5400000" scaled="1"/>
              <a:tileRect/>
            </a:gradFill>
            <a:ln>
              <a:solidFill>
                <a:schemeClr val="accent1">
                  <a:shade val="15000"/>
                  <a:alpha val="95000"/>
                </a:schemeClr>
              </a:solidFill>
            </a:ln>
            <a:effectLst/>
          </c:spPr>
          <c:cat>
            <c:strRef>
              <c:f>Pivots!$A$13:$A$25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Pivots!$C$13:$C$25</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8CC9-419B-9BBF-67A71210F23B}"/>
            </c:ext>
          </c:extLst>
        </c:ser>
        <c:dLbls>
          <c:showLegendKey val="0"/>
          <c:showVal val="0"/>
          <c:showCatName val="0"/>
          <c:showSerName val="0"/>
          <c:showPercent val="0"/>
          <c:showBubbleSize val="0"/>
        </c:dLbls>
        <c:axId val="1830217647"/>
        <c:axId val="1830243087"/>
      </c:areaChart>
      <c:lineChart>
        <c:grouping val="standard"/>
        <c:varyColors val="0"/>
        <c:ser>
          <c:idx val="0"/>
          <c:order val="0"/>
          <c:tx>
            <c:strRef>
              <c:f>Pivots!$B$12</c:f>
              <c:strCache>
                <c:ptCount val="1"/>
                <c:pt idx="0">
                  <c:v>Call Count</c:v>
                </c:pt>
              </c:strCache>
            </c:strRef>
          </c:tx>
          <c:spPr>
            <a:ln w="28575" cap="rnd">
              <a:solidFill>
                <a:srgbClr val="FF9900"/>
              </a:solidFill>
              <a:round/>
            </a:ln>
            <a:effectLst/>
          </c:spPr>
          <c:marker>
            <c:symbol val="circle"/>
            <c:size val="5"/>
            <c:spPr>
              <a:solidFill>
                <a:schemeClr val="bg1"/>
              </a:solidFill>
              <a:ln w="9525">
                <a:solidFill>
                  <a:schemeClr val="tx1">
                    <a:lumMod val="95000"/>
                    <a:lumOff val="5000"/>
                  </a:schemeClr>
                </a:solidFill>
              </a:ln>
              <a:effectLst/>
            </c:spPr>
          </c:marker>
          <c:cat>
            <c:strRef>
              <c:f>Pivots!$A$13:$A$25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Pivots!$B$13:$B$25</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8CC9-419B-9BBF-67A71210F23B}"/>
            </c:ext>
          </c:extLst>
        </c:ser>
        <c:dLbls>
          <c:showLegendKey val="0"/>
          <c:showVal val="0"/>
          <c:showCatName val="0"/>
          <c:showSerName val="0"/>
          <c:showPercent val="0"/>
          <c:showBubbleSize val="0"/>
        </c:dLbls>
        <c:marker val="1"/>
        <c:smooth val="0"/>
        <c:axId val="1830217647"/>
        <c:axId val="1830243087"/>
      </c:lineChart>
      <c:catAx>
        <c:axId val="183021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243087"/>
        <c:crosses val="autoZero"/>
        <c:auto val="1"/>
        <c:lblAlgn val="ctr"/>
        <c:lblOffset val="100"/>
        <c:noMultiLvlLbl val="0"/>
      </c:catAx>
      <c:valAx>
        <c:axId val="18302430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21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FF9900"/>
                </a:solidFill>
                <a:latin typeface="+mn-lt"/>
                <a:ea typeface="+mn-ea"/>
                <a:cs typeface="+mn-cs"/>
              </a:defRPr>
            </a:pPr>
            <a:r>
              <a:rPr lang="en-US" b="1">
                <a:solidFill>
                  <a:srgbClr val="FF9900"/>
                </a:solidFill>
              </a:rPr>
              <a:t>Calls</a:t>
            </a:r>
          </a:p>
        </c:rich>
      </c:tx>
      <c:layout>
        <c:manualLayout>
          <c:xMode val="edge"/>
          <c:yMode val="edge"/>
          <c:x val="3.5475889700331116E-2"/>
          <c:y val="2.328766872099355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FF99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Pivots!$E$30:$E$34</c:f>
              <c:strCache>
                <c:ptCount val="5"/>
                <c:pt idx="0">
                  <c:v>R01</c:v>
                </c:pt>
                <c:pt idx="1">
                  <c:v>R02</c:v>
                </c:pt>
                <c:pt idx="2">
                  <c:v>R03</c:v>
                </c:pt>
                <c:pt idx="3">
                  <c:v>R04</c:v>
                </c:pt>
                <c:pt idx="4">
                  <c:v>R05</c:v>
                </c:pt>
              </c:strCache>
            </c:strRef>
          </c:cat>
          <c:val>
            <c:numRef>
              <c:f>Pivots!$F$30:$F$34</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CC5F-424E-99F5-680CF4FDDC75}"/>
            </c:ext>
          </c:extLst>
        </c:ser>
        <c:ser>
          <c:idx val="1"/>
          <c:order val="1"/>
          <c:tx>
            <c:v>sel.calls</c:v>
          </c:tx>
          <c:spPr>
            <a:gradFill>
              <a:gsLst>
                <a:gs pos="0">
                  <a:srgbClr val="FF9900">
                    <a:lumMod val="96000"/>
                    <a:lumOff val="4000"/>
                  </a:srgbClr>
                </a:gs>
                <a:gs pos="82000">
                  <a:srgbClr val="FAD650">
                    <a:alpha val="75000"/>
                  </a:srgbClr>
                </a:gs>
              </a:gsLst>
              <a:lin ang="5400000" scaled="1"/>
            </a:gradFill>
            <a:ln>
              <a:noFill/>
            </a:ln>
            <a:effectLst/>
          </c:spPr>
          <c:invertIfNegative val="0"/>
          <c:val>
            <c:numRef>
              <c:f>Pivots!$H$30:$H$34</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CC5F-424E-99F5-680CF4FDDC75}"/>
            </c:ext>
          </c:extLst>
        </c:ser>
        <c:dLbls>
          <c:showLegendKey val="0"/>
          <c:showVal val="0"/>
          <c:showCatName val="0"/>
          <c:showSerName val="0"/>
          <c:showPercent val="0"/>
          <c:showBubbleSize val="0"/>
        </c:dLbls>
        <c:gapWidth val="25"/>
        <c:overlap val="100"/>
        <c:axId val="782634127"/>
        <c:axId val="782638447"/>
      </c:barChart>
      <c:catAx>
        <c:axId val="78263412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638447"/>
        <c:crosses val="autoZero"/>
        <c:auto val="1"/>
        <c:lblAlgn val="ctr"/>
        <c:lblOffset val="100"/>
        <c:noMultiLvlLbl val="0"/>
      </c:catAx>
      <c:valAx>
        <c:axId val="782638447"/>
        <c:scaling>
          <c:orientation val="minMax"/>
          <c:min val="0"/>
        </c:scaling>
        <c:delete val="1"/>
        <c:axPos val="t"/>
        <c:numFmt formatCode="#,##0" sourceLinked="1"/>
        <c:majorTickMark val="out"/>
        <c:minorTickMark val="none"/>
        <c:tickLblPos val="nextTo"/>
        <c:crossAx val="78263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rgbClr val="FF9900"/>
                </a:solidFill>
                <a:latin typeface="+mn-lt"/>
                <a:ea typeface="+mn-ea"/>
                <a:cs typeface="+mn-cs"/>
              </a:defRPr>
            </a:pPr>
            <a:r>
              <a:rPr lang="en-US" b="1">
                <a:solidFill>
                  <a:srgbClr val="FF9900"/>
                </a:solidFill>
              </a:rPr>
              <a:t>Amount</a:t>
            </a:r>
          </a:p>
        </c:rich>
      </c:tx>
      <c:layout>
        <c:manualLayout>
          <c:xMode val="edge"/>
          <c:yMode val="edge"/>
          <c:x val="4.5908242637964558E-2"/>
          <c:y val="1.9459706608914752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rgbClr val="FF99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Pivots!$E$30:$E$34</c:f>
              <c:strCache>
                <c:ptCount val="5"/>
                <c:pt idx="0">
                  <c:v>R01</c:v>
                </c:pt>
                <c:pt idx="1">
                  <c:v>R02</c:v>
                </c:pt>
                <c:pt idx="2">
                  <c:v>R03</c:v>
                </c:pt>
                <c:pt idx="3">
                  <c:v>R04</c:v>
                </c:pt>
                <c:pt idx="4">
                  <c:v>R05</c:v>
                </c:pt>
              </c:strCache>
            </c:strRef>
          </c:cat>
          <c:val>
            <c:numRef>
              <c:f>Pivots!$G$30:$G$34</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F51E-42C6-BBB1-E9642A3E8732}"/>
            </c:ext>
          </c:extLst>
        </c:ser>
        <c:ser>
          <c:idx val="1"/>
          <c:order val="1"/>
          <c:tx>
            <c:v>sel.amount</c:v>
          </c:tx>
          <c:spPr>
            <a:gradFill>
              <a:gsLst>
                <a:gs pos="0">
                  <a:srgbClr val="FF9900">
                    <a:lumMod val="96000"/>
                    <a:lumOff val="4000"/>
                  </a:srgbClr>
                </a:gs>
                <a:gs pos="56000">
                  <a:srgbClr val="FAD650">
                    <a:alpha val="75000"/>
                  </a:srgb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Pivots!$I$30:$I$34</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F51E-42C6-BBB1-E9642A3E8732}"/>
            </c:ext>
          </c:extLst>
        </c:ser>
        <c:dLbls>
          <c:dLblPos val="outEnd"/>
          <c:showLegendKey val="0"/>
          <c:showVal val="1"/>
          <c:showCatName val="0"/>
          <c:showSerName val="0"/>
          <c:showPercent val="0"/>
          <c:showBubbleSize val="0"/>
        </c:dLbls>
        <c:gapWidth val="25"/>
        <c:overlap val="100"/>
        <c:axId val="1964463151"/>
        <c:axId val="1964464111"/>
      </c:barChart>
      <c:catAx>
        <c:axId val="1964463151"/>
        <c:scaling>
          <c:orientation val="maxMin"/>
        </c:scaling>
        <c:delete val="1"/>
        <c:axPos val="l"/>
        <c:numFmt formatCode="General" sourceLinked="1"/>
        <c:majorTickMark val="none"/>
        <c:minorTickMark val="none"/>
        <c:tickLblPos val="nextTo"/>
        <c:crossAx val="1964464111"/>
        <c:crosses val="autoZero"/>
        <c:auto val="1"/>
        <c:lblAlgn val="ctr"/>
        <c:lblOffset val="100"/>
        <c:noMultiLvlLbl val="0"/>
      </c:catAx>
      <c:valAx>
        <c:axId val="1964464111"/>
        <c:scaling>
          <c:orientation val="minMax"/>
        </c:scaling>
        <c:delete val="1"/>
        <c:axPos val="t"/>
        <c:numFmt formatCode="&quot;$&quot;#,###.0,&quot;k&quot;" sourceLinked="1"/>
        <c:majorTickMark val="none"/>
        <c:minorTickMark val="none"/>
        <c:tickLblPos val="nextTo"/>
        <c:crossAx val="196446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9900"/>
                </a:solidFill>
              </a:rPr>
              <a:t>Female</a:t>
            </a:r>
            <a:r>
              <a:rPr lang="en-US"/>
              <a:t> Vs. </a:t>
            </a:r>
            <a:r>
              <a:rPr lang="en-US">
                <a:solidFill>
                  <a:schemeClr val="accent1">
                    <a:lumMod val="60000"/>
                    <a:lumOff val="40000"/>
                  </a:schemeClr>
                </a:solidFill>
              </a:rPr>
              <a:t>Male</a:t>
            </a:r>
            <a:r>
              <a:rPr lang="en-US"/>
              <a:t> 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9900"/>
          </a:solidFill>
          <a:ln>
            <a:noFill/>
          </a:ln>
          <a:effectLst/>
        </c:spPr>
      </c:pivotFmt>
      <c:pivotFmt>
        <c:idx val="7"/>
        <c:spPr>
          <a:solidFill>
            <a:srgbClr val="FF9900"/>
          </a:solidFill>
          <a:ln>
            <a:noFill/>
          </a:ln>
          <a:effectLst/>
        </c:spPr>
      </c:pivotFmt>
      <c:pivotFmt>
        <c:idx val="8"/>
        <c:spPr>
          <a:solidFill>
            <a:srgbClr val="FF9900"/>
          </a:solidFill>
          <a:ln>
            <a:noFill/>
          </a:ln>
          <a:effectLst/>
        </c:spPr>
      </c:pivotFmt>
    </c:pivotFmts>
    <c:plotArea>
      <c:layout/>
      <c:barChart>
        <c:barDir val="col"/>
        <c:grouping val="percentStacked"/>
        <c:varyColors val="0"/>
        <c:ser>
          <c:idx val="0"/>
          <c:order val="0"/>
          <c:tx>
            <c:strRef>
              <c:f>Pivots!$D$42:$D$43</c:f>
              <c:strCache>
                <c:ptCount val="1"/>
                <c:pt idx="0">
                  <c:v>Female</c:v>
                </c:pt>
              </c:strCache>
            </c:strRef>
          </c:tx>
          <c:spPr>
            <a:solidFill>
              <a:schemeClr val="accent1"/>
            </a:solidFill>
            <a:ln>
              <a:noFill/>
            </a:ln>
            <a:effectLst/>
          </c:spPr>
          <c:invertIfNegative val="0"/>
          <c:dPt>
            <c:idx val="0"/>
            <c:invertIfNegative val="0"/>
            <c:bubble3D val="0"/>
            <c:spPr>
              <a:solidFill>
                <a:srgbClr val="FF9900"/>
              </a:solidFill>
              <a:ln>
                <a:noFill/>
              </a:ln>
              <a:effectLst/>
            </c:spPr>
            <c:extLst>
              <c:ext xmlns:c16="http://schemas.microsoft.com/office/drawing/2014/chart" uri="{C3380CC4-5D6E-409C-BE32-E72D297353CC}">
                <c16:uniqueId val="{00000002-E2CF-4A75-8514-22E62A10DD3E}"/>
              </c:ext>
            </c:extLst>
          </c:dPt>
          <c:dPt>
            <c:idx val="1"/>
            <c:invertIfNegative val="0"/>
            <c:bubble3D val="0"/>
            <c:spPr>
              <a:solidFill>
                <a:srgbClr val="FF9900"/>
              </a:solidFill>
              <a:ln>
                <a:noFill/>
              </a:ln>
              <a:effectLst/>
            </c:spPr>
            <c:extLst>
              <c:ext xmlns:c16="http://schemas.microsoft.com/office/drawing/2014/chart" uri="{C3380CC4-5D6E-409C-BE32-E72D297353CC}">
                <c16:uniqueId val="{00000003-E2CF-4A75-8514-22E62A10DD3E}"/>
              </c:ext>
            </c:extLst>
          </c:dPt>
          <c:dPt>
            <c:idx val="2"/>
            <c:invertIfNegative val="0"/>
            <c:bubble3D val="0"/>
            <c:spPr>
              <a:solidFill>
                <a:srgbClr val="FF9900"/>
              </a:solidFill>
              <a:ln>
                <a:noFill/>
              </a:ln>
              <a:effectLst/>
            </c:spPr>
            <c:extLst>
              <c:ext xmlns:c16="http://schemas.microsoft.com/office/drawing/2014/chart" uri="{C3380CC4-5D6E-409C-BE32-E72D297353CC}">
                <c16:uniqueId val="{00000004-E2CF-4A75-8514-22E62A10DD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Pivots!$C$44:$C$47</c:f>
              <c:strCache>
                <c:ptCount val="3"/>
                <c:pt idx="0">
                  <c:v>Cincinnati</c:v>
                </c:pt>
                <c:pt idx="1">
                  <c:v>Cleveland</c:v>
                </c:pt>
                <c:pt idx="2">
                  <c:v>Columbus</c:v>
                </c:pt>
              </c:strCache>
            </c:strRef>
          </c:cat>
          <c:val>
            <c:numRef>
              <c:f>Pivots!$D$44:$D$47</c:f>
              <c:numCache>
                <c:formatCode>#,##0</c:formatCode>
                <c:ptCount val="3"/>
                <c:pt idx="0">
                  <c:v>144</c:v>
                </c:pt>
                <c:pt idx="1">
                  <c:v>326</c:v>
                </c:pt>
                <c:pt idx="2">
                  <c:v>129</c:v>
                </c:pt>
              </c:numCache>
            </c:numRef>
          </c:val>
          <c:extLst>
            <c:ext xmlns:c16="http://schemas.microsoft.com/office/drawing/2014/chart" uri="{C3380CC4-5D6E-409C-BE32-E72D297353CC}">
              <c16:uniqueId val="{00000000-E2CF-4A75-8514-22E62A10DD3E}"/>
            </c:ext>
          </c:extLst>
        </c:ser>
        <c:ser>
          <c:idx val="1"/>
          <c:order val="1"/>
          <c:tx>
            <c:strRef>
              <c:f>Pivots!$E$42:$E$43</c:f>
              <c:strCache>
                <c:ptCount val="1"/>
                <c:pt idx="0">
                  <c:v>Male</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Pivots!$C$44:$C$47</c:f>
              <c:strCache>
                <c:ptCount val="3"/>
                <c:pt idx="0">
                  <c:v>Cincinnati</c:v>
                </c:pt>
                <c:pt idx="1">
                  <c:v>Cleveland</c:v>
                </c:pt>
                <c:pt idx="2">
                  <c:v>Columbus</c:v>
                </c:pt>
              </c:strCache>
            </c:strRef>
          </c:cat>
          <c:val>
            <c:numRef>
              <c:f>Pivots!$E$44:$E$47</c:f>
              <c:numCache>
                <c:formatCode>#,##0</c:formatCode>
                <c:ptCount val="3"/>
                <c:pt idx="0">
                  <c:v>132</c:v>
                </c:pt>
                <c:pt idx="1">
                  <c:v>63</c:v>
                </c:pt>
                <c:pt idx="2">
                  <c:v>206</c:v>
                </c:pt>
              </c:numCache>
            </c:numRef>
          </c:val>
          <c:extLst>
            <c:ext xmlns:c16="http://schemas.microsoft.com/office/drawing/2014/chart" uri="{C3380CC4-5D6E-409C-BE32-E72D297353CC}">
              <c16:uniqueId val="{00000001-E2CF-4A75-8514-22E62A10DD3E}"/>
            </c:ext>
          </c:extLst>
        </c:ser>
        <c:dLbls>
          <c:showLegendKey val="0"/>
          <c:showVal val="0"/>
          <c:showCatName val="0"/>
          <c:showSerName val="0"/>
          <c:showPercent val="0"/>
          <c:showBubbleSize val="0"/>
        </c:dLbls>
        <c:gapWidth val="25"/>
        <c:overlap val="100"/>
        <c:axId val="734365951"/>
        <c:axId val="734369311"/>
      </c:barChart>
      <c:catAx>
        <c:axId val="734365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369311"/>
        <c:crosses val="autoZero"/>
        <c:auto val="1"/>
        <c:lblAlgn val="ctr"/>
        <c:lblOffset val="100"/>
        <c:noMultiLvlLbl val="0"/>
      </c:catAx>
      <c:valAx>
        <c:axId val="734369311"/>
        <c:scaling>
          <c:orientation val="minMax"/>
        </c:scaling>
        <c:delete val="1"/>
        <c:axPos val="l"/>
        <c:numFmt formatCode="0%" sourceLinked="1"/>
        <c:majorTickMark val="none"/>
        <c:minorTickMark val="none"/>
        <c:tickLblPos val="nextTo"/>
        <c:crossAx val="73436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[sample-data-excel-portfolio-project.xlsx]Pivots!Rep Satisfaction</c:name>
    <c:fmtId val="4"/>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US" b="1">
                <a:solidFill>
                  <a:schemeClr val="accent1">
                    <a:lumMod val="75000"/>
                  </a:schemeClr>
                </a:solidFill>
              </a:rPr>
              <a:t>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Pivots!$I$42</c:f>
              <c:strCache>
                <c:ptCount val="1"/>
                <c:pt idx="0">
                  <c:v>Total</c:v>
                </c:pt>
              </c:strCache>
            </c:strRef>
          </c:tx>
          <c:spPr>
            <a:solidFill>
              <a:schemeClr val="accent1">
                <a:lumMod val="75000"/>
              </a:schemeClr>
            </a:solidFill>
            <a:ln>
              <a:noFill/>
            </a:ln>
            <a:effectLst/>
          </c:spPr>
          <c:invertIfNegative val="0"/>
          <c:cat>
            <c:strRef>
              <c:f>Pivots!$H$43:$H$48</c:f>
              <c:strCache>
                <c:ptCount val="5"/>
                <c:pt idx="0">
                  <c:v>1</c:v>
                </c:pt>
                <c:pt idx="1">
                  <c:v>2</c:v>
                </c:pt>
                <c:pt idx="2">
                  <c:v>3</c:v>
                </c:pt>
                <c:pt idx="3">
                  <c:v>4</c:v>
                </c:pt>
                <c:pt idx="4">
                  <c:v>5</c:v>
                </c:pt>
              </c:strCache>
            </c:strRef>
          </c:cat>
          <c:val>
            <c:numRef>
              <c:f>Pivots!$I$43:$I$48</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95CF-4FCA-8DB3-31A3C46CA859}"/>
            </c:ext>
          </c:extLst>
        </c:ser>
        <c:dLbls>
          <c:showLegendKey val="0"/>
          <c:showVal val="0"/>
          <c:showCatName val="0"/>
          <c:showSerName val="0"/>
          <c:showPercent val="0"/>
          <c:showBubbleSize val="0"/>
        </c:dLbls>
        <c:gapWidth val="50"/>
        <c:overlap val="-27"/>
        <c:axId val="782867183"/>
        <c:axId val="782865743"/>
      </c:barChart>
      <c:catAx>
        <c:axId val="78286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865743"/>
        <c:crosses val="autoZero"/>
        <c:auto val="1"/>
        <c:lblAlgn val="ctr"/>
        <c:lblOffset val="100"/>
        <c:noMultiLvlLbl val="0"/>
      </c:catAx>
      <c:valAx>
        <c:axId val="7828657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86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5" Type="http://schemas.openxmlformats.org/officeDocument/2006/relationships/chart" Target="../charts/chart5.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0</xdr:col>
      <xdr:colOff>152399</xdr:colOff>
      <xdr:row>0</xdr:row>
      <xdr:rowOff>161365</xdr:rowOff>
    </xdr:from>
    <xdr:to>
      <xdr:col>2</xdr:col>
      <xdr:colOff>206187</xdr:colOff>
      <xdr:row>6</xdr:row>
      <xdr:rowOff>80682</xdr:rowOff>
    </xdr:to>
    <xdr:sp macro="" textlink="Pivots!A4">
      <xdr:nvSpPr>
        <xdr:cNvPr id="4" name="Rectangle 3">
          <a:extLst>
            <a:ext uri="{FF2B5EF4-FFF2-40B4-BE49-F238E27FC236}">
              <a16:creationId xmlns:a16="http://schemas.microsoft.com/office/drawing/2014/main" id="{A97E2164-F918-2777-AF89-68EA7C8321A8}"/>
            </a:ext>
          </a:extLst>
        </xdr:cNvPr>
        <xdr:cNvSpPr/>
      </xdr:nvSpPr>
      <xdr:spPr>
        <a:xfrm>
          <a:off x="152399" y="161365"/>
          <a:ext cx="1398494" cy="995082"/>
        </a:xfrm>
        <a:prstGeom prst="rect">
          <a:avLst/>
        </a:prstGeom>
        <a:solidFill>
          <a:srgbClr val="FF9900"/>
        </a:solidFill>
        <a:effectLst>
          <a:outerShdw blurRad="660400" dist="203200" dir="300000" algn="ctr" rotWithShape="0">
            <a:srgbClr val="000000">
              <a:alpha val="4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1706F4-BFC1-4C44-8DF9-E7F5AE25B260}" type="TxLink">
            <a:rPr lang="en-US" sz="2400" b="1" i="0" u="none" strike="noStrike">
              <a:solidFill>
                <a:srgbClr val="000000"/>
              </a:solidFill>
              <a:effectLst>
                <a:outerShdw blurRad="50800" dist="38100" algn="l" rotWithShape="0">
                  <a:prstClr val="black">
                    <a:alpha val="40000"/>
                  </a:prstClr>
                </a:outerShdw>
              </a:effectLst>
              <a:latin typeface="Aptos"/>
            </a:rPr>
            <a:pPr algn="ctr"/>
            <a:t>1,000</a:t>
          </a:fld>
          <a:endParaRPr lang="en-US" sz="2400" b="1">
            <a:effectLst>
              <a:outerShdw blurRad="50800" dist="38100" algn="l" rotWithShape="0">
                <a:prstClr val="black">
                  <a:alpha val="40000"/>
                </a:prstClr>
              </a:outerShdw>
            </a:effectLst>
          </a:endParaRPr>
        </a:p>
      </xdr:txBody>
    </xdr:sp>
    <xdr:clientData/>
  </xdr:twoCellAnchor>
  <xdr:twoCellAnchor>
    <xdr:from>
      <xdr:col>0</xdr:col>
      <xdr:colOff>609599</xdr:colOff>
      <xdr:row>1</xdr:row>
      <xdr:rowOff>17930</xdr:rowOff>
    </xdr:from>
    <xdr:to>
      <xdr:col>1</xdr:col>
      <xdr:colOff>537882</xdr:colOff>
      <xdr:row>2</xdr:row>
      <xdr:rowOff>44824</xdr:rowOff>
    </xdr:to>
    <xdr:sp macro="" textlink="">
      <xdr:nvSpPr>
        <xdr:cNvPr id="20" name="TextBox 19">
          <a:extLst>
            <a:ext uri="{FF2B5EF4-FFF2-40B4-BE49-F238E27FC236}">
              <a16:creationId xmlns:a16="http://schemas.microsoft.com/office/drawing/2014/main" id="{BCEC1F8E-8D15-1DD4-A993-6500DE86249B}"/>
            </a:ext>
          </a:extLst>
        </xdr:cNvPr>
        <xdr:cNvSpPr txBox="1"/>
      </xdr:nvSpPr>
      <xdr:spPr>
        <a:xfrm>
          <a:off x="609599" y="197224"/>
          <a:ext cx="600636" cy="206188"/>
        </a:xfrm>
        <a:prstGeom prst="rect">
          <a:avLst/>
        </a:prstGeom>
        <a:solidFill>
          <a:srgbClr val="FF9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Calls</a:t>
          </a:r>
        </a:p>
      </xdr:txBody>
    </xdr:sp>
    <xdr:clientData/>
  </xdr:twoCellAnchor>
  <xdr:twoCellAnchor>
    <xdr:from>
      <xdr:col>0</xdr:col>
      <xdr:colOff>654423</xdr:colOff>
      <xdr:row>4</xdr:row>
      <xdr:rowOff>152400</xdr:rowOff>
    </xdr:from>
    <xdr:to>
      <xdr:col>1</xdr:col>
      <xdr:colOff>564776</xdr:colOff>
      <xdr:row>6</xdr:row>
      <xdr:rowOff>17929</xdr:rowOff>
    </xdr:to>
    <xdr:sp macro="" textlink="Pivots!A8">
      <xdr:nvSpPr>
        <xdr:cNvPr id="22" name="TextBox 21">
          <a:extLst>
            <a:ext uri="{FF2B5EF4-FFF2-40B4-BE49-F238E27FC236}">
              <a16:creationId xmlns:a16="http://schemas.microsoft.com/office/drawing/2014/main" id="{85D43B55-45A1-5E35-7CFD-AC1357EC47FB}"/>
            </a:ext>
          </a:extLst>
        </xdr:cNvPr>
        <xdr:cNvSpPr txBox="1"/>
      </xdr:nvSpPr>
      <xdr:spPr>
        <a:xfrm>
          <a:off x="654423" y="869576"/>
          <a:ext cx="582706" cy="224118"/>
        </a:xfrm>
        <a:prstGeom prst="rect">
          <a:avLst/>
        </a:prstGeom>
        <a:solidFill>
          <a:srgbClr val="FF9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14B0B4-1083-4A0E-B5DB-B47716E96ED9}" type="TxLink">
            <a:rPr lang="en-US" sz="1200" b="1" i="0" u="none" strike="noStrike">
              <a:solidFill>
                <a:srgbClr val="000000"/>
              </a:solidFill>
              <a:latin typeface="Aptos"/>
            </a:rPr>
            <a:t>189</a:t>
          </a:fld>
          <a:endParaRPr lang="en-US" sz="1200" b="1"/>
        </a:p>
      </xdr:txBody>
    </xdr:sp>
    <xdr:clientData/>
  </xdr:twoCellAnchor>
  <xdr:twoCellAnchor editAs="oneCell">
    <xdr:from>
      <xdr:col>0</xdr:col>
      <xdr:colOff>197224</xdr:colOff>
      <xdr:row>1</xdr:row>
      <xdr:rowOff>30805</xdr:rowOff>
    </xdr:from>
    <xdr:to>
      <xdr:col>0</xdr:col>
      <xdr:colOff>510989</xdr:colOff>
      <xdr:row>2</xdr:row>
      <xdr:rowOff>157664</xdr:rowOff>
    </xdr:to>
    <xdr:pic>
      <xdr:nvPicPr>
        <xdr:cNvPr id="27" name="Graphic 26" descr="Receiver with solid fill">
          <a:extLst>
            <a:ext uri="{FF2B5EF4-FFF2-40B4-BE49-F238E27FC236}">
              <a16:creationId xmlns:a16="http://schemas.microsoft.com/office/drawing/2014/main" id="{2849B07C-79E5-4A61-A4E9-52356A5105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7224" y="210099"/>
          <a:ext cx="313765" cy="306153"/>
        </a:xfrm>
        <a:prstGeom prst="rect">
          <a:avLst/>
        </a:prstGeom>
      </xdr:spPr>
    </xdr:pic>
    <xdr:clientData/>
  </xdr:twoCellAnchor>
  <xdr:twoCellAnchor>
    <xdr:from>
      <xdr:col>0</xdr:col>
      <xdr:colOff>161363</xdr:colOff>
      <xdr:row>7</xdr:row>
      <xdr:rowOff>35859</xdr:rowOff>
    </xdr:from>
    <xdr:to>
      <xdr:col>2</xdr:col>
      <xdr:colOff>215151</xdr:colOff>
      <xdr:row>12</xdr:row>
      <xdr:rowOff>134471</xdr:rowOff>
    </xdr:to>
    <xdr:sp macro="" textlink="Pivots!B4">
      <xdr:nvSpPr>
        <xdr:cNvPr id="45" name="Rectangle 44">
          <a:extLst>
            <a:ext uri="{FF2B5EF4-FFF2-40B4-BE49-F238E27FC236}">
              <a16:creationId xmlns:a16="http://schemas.microsoft.com/office/drawing/2014/main" id="{D55E663F-5D5F-4E6B-838F-77C71CD1F61C}"/>
            </a:ext>
          </a:extLst>
        </xdr:cNvPr>
        <xdr:cNvSpPr/>
      </xdr:nvSpPr>
      <xdr:spPr>
        <a:xfrm>
          <a:off x="161363" y="1290918"/>
          <a:ext cx="1398494" cy="995082"/>
        </a:xfrm>
        <a:prstGeom prst="rect">
          <a:avLst/>
        </a:prstGeom>
        <a:solidFill>
          <a:srgbClr val="FF9900"/>
        </a:solidFill>
        <a:effectLst>
          <a:outerShdw blurRad="660400" dist="203200" dir="300000" algn="ctr" rotWithShape="0">
            <a:srgbClr val="000000">
              <a:alpha val="4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DE35402-0DE4-427D-9184-68B883B890EA}" type="TxLink">
            <a:rPr lang="en-US" sz="2400" b="1" i="0" u="none" strike="noStrike">
              <a:solidFill>
                <a:srgbClr val="000000"/>
              </a:solidFill>
              <a:effectLst>
                <a:outerShdw blurRad="50800" dist="38100" algn="l" rotWithShape="0">
                  <a:prstClr val="black">
                    <a:alpha val="40000"/>
                  </a:prstClr>
                </a:outerShdw>
              </a:effectLst>
              <a:latin typeface="Aptos"/>
            </a:rPr>
            <a:t>$96,623</a:t>
          </a:fld>
          <a:endParaRPr lang="en-US" sz="2400" b="1">
            <a:effectLst>
              <a:outerShdw blurRad="50800" dist="38100" algn="l" rotWithShape="0">
                <a:prstClr val="black">
                  <a:alpha val="40000"/>
                </a:prstClr>
              </a:outerShdw>
            </a:effectLst>
          </a:endParaRPr>
        </a:p>
      </xdr:txBody>
    </xdr:sp>
    <xdr:clientData/>
  </xdr:twoCellAnchor>
  <xdr:twoCellAnchor>
    <xdr:from>
      <xdr:col>0</xdr:col>
      <xdr:colOff>519951</xdr:colOff>
      <xdr:row>7</xdr:row>
      <xdr:rowOff>89647</xdr:rowOff>
    </xdr:from>
    <xdr:to>
      <xdr:col>1</xdr:col>
      <xdr:colOff>645458</xdr:colOff>
      <xdr:row>8</xdr:row>
      <xdr:rowOff>125506</xdr:rowOff>
    </xdr:to>
    <xdr:sp macro="" textlink="">
      <xdr:nvSpPr>
        <xdr:cNvPr id="46" name="TextBox 45">
          <a:extLst>
            <a:ext uri="{FF2B5EF4-FFF2-40B4-BE49-F238E27FC236}">
              <a16:creationId xmlns:a16="http://schemas.microsoft.com/office/drawing/2014/main" id="{53966763-35D6-4F45-9222-E4B2B60AC12D}"/>
            </a:ext>
          </a:extLst>
        </xdr:cNvPr>
        <xdr:cNvSpPr txBox="1"/>
      </xdr:nvSpPr>
      <xdr:spPr>
        <a:xfrm>
          <a:off x="519951" y="1344706"/>
          <a:ext cx="797860" cy="215153"/>
        </a:xfrm>
        <a:prstGeom prst="rect">
          <a:avLst/>
        </a:prstGeom>
        <a:solidFill>
          <a:srgbClr val="FF9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Amount</a:t>
          </a:r>
        </a:p>
      </xdr:txBody>
    </xdr:sp>
    <xdr:clientData/>
  </xdr:twoCellAnchor>
  <xdr:twoCellAnchor>
    <xdr:from>
      <xdr:col>0</xdr:col>
      <xdr:colOff>430306</xdr:colOff>
      <xdr:row>11</xdr:row>
      <xdr:rowOff>17929</xdr:rowOff>
    </xdr:from>
    <xdr:to>
      <xdr:col>1</xdr:col>
      <xdr:colOff>627529</xdr:colOff>
      <xdr:row>12</xdr:row>
      <xdr:rowOff>80682</xdr:rowOff>
    </xdr:to>
    <xdr:sp macro="" textlink="Pivots!B8">
      <xdr:nvSpPr>
        <xdr:cNvPr id="47" name="TextBox 46">
          <a:extLst>
            <a:ext uri="{FF2B5EF4-FFF2-40B4-BE49-F238E27FC236}">
              <a16:creationId xmlns:a16="http://schemas.microsoft.com/office/drawing/2014/main" id="{ECD17ED5-2B3F-4F99-AABF-D6C5DFFBB9EB}"/>
            </a:ext>
          </a:extLst>
        </xdr:cNvPr>
        <xdr:cNvSpPr txBox="1"/>
      </xdr:nvSpPr>
      <xdr:spPr>
        <a:xfrm>
          <a:off x="430306" y="1990164"/>
          <a:ext cx="869576" cy="242047"/>
        </a:xfrm>
        <a:prstGeom prst="rect">
          <a:avLst/>
        </a:prstGeom>
        <a:solidFill>
          <a:srgbClr val="FF9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121CD67-D4B5-410B-8738-3234114A8D06}" type="TxLink">
            <a:rPr lang="en-US" sz="1200" b="1" i="0" u="none" strike="noStrike">
              <a:solidFill>
                <a:srgbClr val="000000"/>
              </a:solidFill>
              <a:latin typeface="Aptos"/>
            </a:rPr>
            <a:pPr algn="ctr"/>
            <a:t>$18,415</a:t>
          </a:fld>
          <a:endParaRPr lang="en-US" sz="1200" b="1"/>
        </a:p>
      </xdr:txBody>
    </xdr:sp>
    <xdr:clientData/>
  </xdr:twoCellAnchor>
  <xdr:oneCellAnchor>
    <xdr:from>
      <xdr:col>0</xdr:col>
      <xdr:colOff>201030</xdr:colOff>
      <xdr:row>7</xdr:row>
      <xdr:rowOff>75628</xdr:rowOff>
    </xdr:from>
    <xdr:ext cx="306153" cy="306153"/>
    <xdr:pic>
      <xdr:nvPicPr>
        <xdr:cNvPr id="48" name="Graphic 47">
          <a:extLst>
            <a:ext uri="{FF2B5EF4-FFF2-40B4-BE49-F238E27FC236}">
              <a16:creationId xmlns:a16="http://schemas.microsoft.com/office/drawing/2014/main" id="{3B09D4DE-43E6-422D-9F40-B17438B3523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01030" y="1330687"/>
          <a:ext cx="306153" cy="306153"/>
        </a:xfrm>
        <a:prstGeom prst="rect">
          <a:avLst/>
        </a:prstGeom>
      </xdr:spPr>
    </xdr:pic>
    <xdr:clientData/>
  </xdr:oneCellAnchor>
  <xdr:twoCellAnchor>
    <xdr:from>
      <xdr:col>0</xdr:col>
      <xdr:colOff>161364</xdr:colOff>
      <xdr:row>13</xdr:row>
      <xdr:rowOff>89647</xdr:rowOff>
    </xdr:from>
    <xdr:to>
      <xdr:col>2</xdr:col>
      <xdr:colOff>215152</xdr:colOff>
      <xdr:row>19</xdr:row>
      <xdr:rowOff>8965</xdr:rowOff>
    </xdr:to>
    <xdr:sp macro="" textlink="Pivots!C4">
      <xdr:nvSpPr>
        <xdr:cNvPr id="57" name="Rectangle 56">
          <a:extLst>
            <a:ext uri="{FF2B5EF4-FFF2-40B4-BE49-F238E27FC236}">
              <a16:creationId xmlns:a16="http://schemas.microsoft.com/office/drawing/2014/main" id="{C9193333-77A7-4FC1-83EF-9BFD03761C31}"/>
            </a:ext>
          </a:extLst>
        </xdr:cNvPr>
        <xdr:cNvSpPr/>
      </xdr:nvSpPr>
      <xdr:spPr>
        <a:xfrm>
          <a:off x="161364" y="2420471"/>
          <a:ext cx="1398494" cy="995082"/>
        </a:xfrm>
        <a:prstGeom prst="rect">
          <a:avLst/>
        </a:prstGeom>
        <a:solidFill>
          <a:srgbClr val="FF9900"/>
        </a:solidFill>
        <a:effectLst>
          <a:outerShdw blurRad="660400" dist="203200" dir="300000" algn="ctr" rotWithShape="0">
            <a:srgbClr val="000000">
              <a:alpha val="4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4F11D0A-4BE2-4971-B48E-0DAF86C28B2E}" type="TxLink">
            <a:rPr lang="en-US" sz="2400" b="1" i="0" u="none" strike="noStrike">
              <a:solidFill>
                <a:srgbClr val="000000"/>
              </a:solidFill>
              <a:effectLst>
                <a:outerShdw blurRad="50800" dist="38100" algn="l" rotWithShape="0">
                  <a:prstClr val="black">
                    <a:alpha val="40000"/>
                  </a:prstClr>
                </a:outerShdw>
              </a:effectLst>
              <a:latin typeface="Aptos"/>
            </a:rPr>
            <a:t>89,850</a:t>
          </a:fld>
          <a:endParaRPr lang="en-US" sz="2400" b="1">
            <a:effectLst>
              <a:outerShdw blurRad="50800" dist="38100" algn="l" rotWithShape="0">
                <a:prstClr val="black">
                  <a:alpha val="40000"/>
                </a:prstClr>
              </a:outerShdw>
            </a:effectLst>
          </a:endParaRPr>
        </a:p>
      </xdr:txBody>
    </xdr:sp>
    <xdr:clientData/>
  </xdr:twoCellAnchor>
  <xdr:twoCellAnchor>
    <xdr:from>
      <xdr:col>0</xdr:col>
      <xdr:colOff>510988</xdr:colOff>
      <xdr:row>13</xdr:row>
      <xdr:rowOff>125504</xdr:rowOff>
    </xdr:from>
    <xdr:to>
      <xdr:col>1</xdr:col>
      <xdr:colOff>636494</xdr:colOff>
      <xdr:row>15</xdr:row>
      <xdr:rowOff>80681</xdr:rowOff>
    </xdr:to>
    <xdr:sp macro="" textlink="">
      <xdr:nvSpPr>
        <xdr:cNvPr id="58" name="TextBox 57">
          <a:extLst>
            <a:ext uri="{FF2B5EF4-FFF2-40B4-BE49-F238E27FC236}">
              <a16:creationId xmlns:a16="http://schemas.microsoft.com/office/drawing/2014/main" id="{34FB78C5-8FF9-4710-851C-6498E81AF2BD}"/>
            </a:ext>
          </a:extLst>
        </xdr:cNvPr>
        <xdr:cNvSpPr txBox="1"/>
      </xdr:nvSpPr>
      <xdr:spPr>
        <a:xfrm>
          <a:off x="510988" y="2456328"/>
          <a:ext cx="797859" cy="313765"/>
        </a:xfrm>
        <a:prstGeom prst="rect">
          <a:avLst/>
        </a:prstGeom>
        <a:solidFill>
          <a:srgbClr val="FF9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Duration</a:t>
          </a:r>
        </a:p>
      </xdr:txBody>
    </xdr:sp>
    <xdr:clientData/>
  </xdr:twoCellAnchor>
  <xdr:twoCellAnchor>
    <xdr:from>
      <xdr:col>0</xdr:col>
      <xdr:colOff>519953</xdr:colOff>
      <xdr:row>17</xdr:row>
      <xdr:rowOff>80682</xdr:rowOff>
    </xdr:from>
    <xdr:to>
      <xdr:col>1</xdr:col>
      <xdr:colOff>600636</xdr:colOff>
      <xdr:row>18</xdr:row>
      <xdr:rowOff>152400</xdr:rowOff>
    </xdr:to>
    <xdr:sp macro="" textlink="Pivots!C8">
      <xdr:nvSpPr>
        <xdr:cNvPr id="59" name="TextBox 58">
          <a:extLst>
            <a:ext uri="{FF2B5EF4-FFF2-40B4-BE49-F238E27FC236}">
              <a16:creationId xmlns:a16="http://schemas.microsoft.com/office/drawing/2014/main" id="{8CFF527C-52AE-49D8-AF10-62C337DCB4A5}"/>
            </a:ext>
          </a:extLst>
        </xdr:cNvPr>
        <xdr:cNvSpPr txBox="1"/>
      </xdr:nvSpPr>
      <xdr:spPr>
        <a:xfrm>
          <a:off x="519953" y="3128682"/>
          <a:ext cx="753036" cy="251012"/>
        </a:xfrm>
        <a:prstGeom prst="rect">
          <a:avLst/>
        </a:prstGeom>
        <a:solidFill>
          <a:srgbClr val="FF9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4DAAD7E-D924-499F-92D5-9B25F2B204F8}" type="TxLink">
            <a:rPr lang="en-US" sz="1200" b="1" i="0" u="none" strike="noStrike">
              <a:solidFill>
                <a:srgbClr val="000000"/>
              </a:solidFill>
              <a:latin typeface="Aptos"/>
            </a:rPr>
            <a:pPr algn="ctr"/>
            <a:t>16,834</a:t>
          </a:fld>
          <a:endParaRPr lang="en-US" sz="1200" b="1"/>
        </a:p>
      </xdr:txBody>
    </xdr:sp>
    <xdr:clientData/>
  </xdr:twoCellAnchor>
  <xdr:oneCellAnchor>
    <xdr:from>
      <xdr:col>0</xdr:col>
      <xdr:colOff>201031</xdr:colOff>
      <xdr:row>13</xdr:row>
      <xdr:rowOff>138381</xdr:rowOff>
    </xdr:from>
    <xdr:ext cx="306153" cy="306153"/>
    <xdr:pic>
      <xdr:nvPicPr>
        <xdr:cNvPr id="60" name="Graphic 59">
          <a:extLst>
            <a:ext uri="{FF2B5EF4-FFF2-40B4-BE49-F238E27FC236}">
              <a16:creationId xmlns:a16="http://schemas.microsoft.com/office/drawing/2014/main" id="{76AEA61C-B586-4836-86FD-29734BB7694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201031" y="2469205"/>
          <a:ext cx="306153" cy="306153"/>
        </a:xfrm>
        <a:prstGeom prst="rect">
          <a:avLst/>
        </a:prstGeom>
      </xdr:spPr>
    </xdr:pic>
    <xdr:clientData/>
  </xdr:oneCellAnchor>
  <xdr:twoCellAnchor>
    <xdr:from>
      <xdr:col>0</xdr:col>
      <xdr:colOff>161364</xdr:colOff>
      <xdr:row>19</xdr:row>
      <xdr:rowOff>143436</xdr:rowOff>
    </xdr:from>
    <xdr:to>
      <xdr:col>2</xdr:col>
      <xdr:colOff>215152</xdr:colOff>
      <xdr:row>25</xdr:row>
      <xdr:rowOff>62753</xdr:rowOff>
    </xdr:to>
    <xdr:sp macro="" textlink="Pivots!D4">
      <xdr:nvSpPr>
        <xdr:cNvPr id="61" name="Rectangle 60">
          <a:extLst>
            <a:ext uri="{FF2B5EF4-FFF2-40B4-BE49-F238E27FC236}">
              <a16:creationId xmlns:a16="http://schemas.microsoft.com/office/drawing/2014/main" id="{2AA8D7BB-2AD1-44EB-A92B-9818B9B1006A}"/>
            </a:ext>
          </a:extLst>
        </xdr:cNvPr>
        <xdr:cNvSpPr/>
      </xdr:nvSpPr>
      <xdr:spPr>
        <a:xfrm>
          <a:off x="161364" y="3550024"/>
          <a:ext cx="1398494" cy="995082"/>
        </a:xfrm>
        <a:prstGeom prst="rect">
          <a:avLst/>
        </a:prstGeom>
        <a:solidFill>
          <a:srgbClr val="FF9900"/>
        </a:solidFill>
        <a:effectLst>
          <a:outerShdw blurRad="660400" dist="203200" dir="300000" algn="ctr" rotWithShape="0">
            <a:srgbClr val="000000">
              <a:alpha val="4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6D7C90-A2C9-4E3B-923A-8A8796282A9E}" type="TxLink">
            <a:rPr lang="en-US" sz="2400" b="1" i="0" u="none" strike="noStrike">
              <a:solidFill>
                <a:srgbClr val="000000"/>
              </a:solidFill>
              <a:effectLst>
                <a:outerShdw blurRad="50800" dist="38100" algn="l" rotWithShape="0">
                  <a:prstClr val="black">
                    <a:alpha val="40000"/>
                  </a:prstClr>
                </a:outerShdw>
              </a:effectLst>
              <a:latin typeface="Aptos"/>
            </a:rPr>
            <a:t>3.9</a:t>
          </a:fld>
          <a:endParaRPr lang="en-US" sz="2400" b="1">
            <a:effectLst>
              <a:outerShdw blurRad="50800" dist="38100" algn="l" rotWithShape="0">
                <a:prstClr val="black">
                  <a:alpha val="40000"/>
                </a:prstClr>
              </a:outerShdw>
            </a:effectLst>
          </a:endParaRPr>
        </a:p>
      </xdr:txBody>
    </xdr:sp>
    <xdr:clientData/>
  </xdr:twoCellAnchor>
  <xdr:twoCellAnchor>
    <xdr:from>
      <xdr:col>0</xdr:col>
      <xdr:colOff>448234</xdr:colOff>
      <xdr:row>19</xdr:row>
      <xdr:rowOff>179293</xdr:rowOff>
    </xdr:from>
    <xdr:to>
      <xdr:col>2</xdr:col>
      <xdr:colOff>71717</xdr:colOff>
      <xdr:row>21</xdr:row>
      <xdr:rowOff>116540</xdr:rowOff>
    </xdr:to>
    <xdr:sp macro="" textlink="">
      <xdr:nvSpPr>
        <xdr:cNvPr id="62" name="TextBox 61">
          <a:extLst>
            <a:ext uri="{FF2B5EF4-FFF2-40B4-BE49-F238E27FC236}">
              <a16:creationId xmlns:a16="http://schemas.microsoft.com/office/drawing/2014/main" id="{039D8DEF-8DE1-4D01-BC4E-005BB5DD385D}"/>
            </a:ext>
          </a:extLst>
        </xdr:cNvPr>
        <xdr:cNvSpPr txBox="1"/>
      </xdr:nvSpPr>
      <xdr:spPr>
        <a:xfrm>
          <a:off x="448234" y="3585881"/>
          <a:ext cx="968189" cy="295835"/>
        </a:xfrm>
        <a:prstGeom prst="rect">
          <a:avLst/>
        </a:prstGeom>
        <a:solidFill>
          <a:srgbClr val="FF9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Avg.</a:t>
          </a:r>
          <a:r>
            <a:rPr lang="en-US" sz="1100" b="1" baseline="0"/>
            <a:t> </a:t>
          </a:r>
          <a:r>
            <a:rPr lang="en-US" sz="1200" b="1" baseline="0"/>
            <a:t>Rating</a:t>
          </a:r>
          <a:endParaRPr lang="en-US" sz="1200" b="1"/>
        </a:p>
      </xdr:txBody>
    </xdr:sp>
    <xdr:clientData/>
  </xdr:twoCellAnchor>
  <xdr:twoCellAnchor>
    <xdr:from>
      <xdr:col>0</xdr:col>
      <xdr:colOff>564778</xdr:colOff>
      <xdr:row>23</xdr:row>
      <xdr:rowOff>143435</xdr:rowOff>
    </xdr:from>
    <xdr:to>
      <xdr:col>1</xdr:col>
      <xdr:colOff>475131</xdr:colOff>
      <xdr:row>25</xdr:row>
      <xdr:rowOff>8965</xdr:rowOff>
    </xdr:to>
    <xdr:sp macro="" textlink="Pivots!D8">
      <xdr:nvSpPr>
        <xdr:cNvPr id="63" name="TextBox 62">
          <a:extLst>
            <a:ext uri="{FF2B5EF4-FFF2-40B4-BE49-F238E27FC236}">
              <a16:creationId xmlns:a16="http://schemas.microsoft.com/office/drawing/2014/main" id="{0B58E949-FBBA-44C0-BEB9-71EC2BC4451F}"/>
            </a:ext>
          </a:extLst>
        </xdr:cNvPr>
        <xdr:cNvSpPr txBox="1"/>
      </xdr:nvSpPr>
      <xdr:spPr>
        <a:xfrm>
          <a:off x="564778" y="4267200"/>
          <a:ext cx="582706" cy="224118"/>
        </a:xfrm>
        <a:prstGeom prst="rect">
          <a:avLst/>
        </a:prstGeom>
        <a:solidFill>
          <a:srgbClr val="FF9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6C319F7-9E0E-4591-89B6-C8E2E7EE4FE6}" type="TxLink">
            <a:rPr lang="en-US" sz="1200" b="1" i="0" u="none" strike="noStrike">
              <a:solidFill>
                <a:srgbClr val="000000"/>
              </a:solidFill>
              <a:latin typeface="Aptos"/>
            </a:rPr>
            <a:t>3.9</a:t>
          </a:fld>
          <a:endParaRPr lang="en-US" sz="1200" b="1"/>
        </a:p>
      </xdr:txBody>
    </xdr:sp>
    <xdr:clientData/>
  </xdr:twoCellAnchor>
  <xdr:oneCellAnchor>
    <xdr:from>
      <xdr:col>0</xdr:col>
      <xdr:colOff>201031</xdr:colOff>
      <xdr:row>20</xdr:row>
      <xdr:rowOff>8965</xdr:rowOff>
    </xdr:from>
    <xdr:ext cx="306153" cy="224118"/>
    <xdr:pic>
      <xdr:nvPicPr>
        <xdr:cNvPr id="64" name="Graphic 63">
          <a:extLst>
            <a:ext uri="{FF2B5EF4-FFF2-40B4-BE49-F238E27FC236}">
              <a16:creationId xmlns:a16="http://schemas.microsoft.com/office/drawing/2014/main" id="{D96D0801-E0CD-4798-9179-5280B9C1B18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201031" y="3594847"/>
          <a:ext cx="306153" cy="224118"/>
        </a:xfrm>
        <a:prstGeom prst="rect">
          <a:avLst/>
        </a:prstGeom>
      </xdr:spPr>
    </xdr:pic>
    <xdr:clientData/>
  </xdr:oneCellAnchor>
  <xdr:twoCellAnchor>
    <xdr:from>
      <xdr:col>0</xdr:col>
      <xdr:colOff>170329</xdr:colOff>
      <xdr:row>26</xdr:row>
      <xdr:rowOff>17929</xdr:rowOff>
    </xdr:from>
    <xdr:to>
      <xdr:col>2</xdr:col>
      <xdr:colOff>224117</xdr:colOff>
      <xdr:row>31</xdr:row>
      <xdr:rowOff>116540</xdr:rowOff>
    </xdr:to>
    <xdr:sp macro="" textlink="Pivots!E4">
      <xdr:nvSpPr>
        <xdr:cNvPr id="65" name="Rectangle 64">
          <a:extLst>
            <a:ext uri="{FF2B5EF4-FFF2-40B4-BE49-F238E27FC236}">
              <a16:creationId xmlns:a16="http://schemas.microsoft.com/office/drawing/2014/main" id="{4663DF94-40CC-4EBC-B368-E67EA656E6F9}"/>
            </a:ext>
          </a:extLst>
        </xdr:cNvPr>
        <xdr:cNvSpPr/>
      </xdr:nvSpPr>
      <xdr:spPr>
        <a:xfrm>
          <a:off x="170329" y="4679576"/>
          <a:ext cx="1398494" cy="995082"/>
        </a:xfrm>
        <a:prstGeom prst="rect">
          <a:avLst/>
        </a:prstGeom>
        <a:solidFill>
          <a:srgbClr val="FF9900"/>
        </a:solidFill>
        <a:effectLst>
          <a:outerShdw blurRad="660400" dist="203200" dir="300000" algn="ctr" rotWithShape="0">
            <a:srgbClr val="000000">
              <a:alpha val="4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CAEB477-B1C3-4308-B3B2-9DB822F46F8D}" type="TxLink">
            <a:rPr lang="en-US" sz="2400" b="1" i="0" u="none" strike="noStrike">
              <a:solidFill>
                <a:srgbClr val="000000"/>
              </a:solidFill>
              <a:effectLst>
                <a:outerShdw blurRad="50800" dist="38100" algn="l" rotWithShape="0">
                  <a:prstClr val="black">
                    <a:alpha val="40000"/>
                  </a:prstClr>
                </a:outerShdw>
              </a:effectLst>
              <a:latin typeface="Aptos"/>
            </a:rPr>
            <a:t>307</a:t>
          </a:fld>
          <a:endParaRPr lang="en-US" sz="2400" b="1">
            <a:effectLst>
              <a:outerShdw blurRad="50800" dist="38100" algn="l" rotWithShape="0">
                <a:prstClr val="black">
                  <a:alpha val="40000"/>
                </a:prstClr>
              </a:outerShdw>
            </a:effectLst>
          </a:endParaRPr>
        </a:p>
      </xdr:txBody>
    </xdr:sp>
    <xdr:clientData/>
  </xdr:twoCellAnchor>
  <xdr:twoCellAnchor>
    <xdr:from>
      <xdr:col>0</xdr:col>
      <xdr:colOff>367552</xdr:colOff>
      <xdr:row>26</xdr:row>
      <xdr:rowOff>26893</xdr:rowOff>
    </xdr:from>
    <xdr:to>
      <xdr:col>2</xdr:col>
      <xdr:colOff>224118</xdr:colOff>
      <xdr:row>27</xdr:row>
      <xdr:rowOff>89647</xdr:rowOff>
    </xdr:to>
    <xdr:sp macro="" textlink="">
      <xdr:nvSpPr>
        <xdr:cNvPr id="66" name="TextBox 65">
          <a:extLst>
            <a:ext uri="{FF2B5EF4-FFF2-40B4-BE49-F238E27FC236}">
              <a16:creationId xmlns:a16="http://schemas.microsoft.com/office/drawing/2014/main" id="{B4FBBEBF-D55D-478A-AC4E-62DED9F411DF}"/>
            </a:ext>
          </a:extLst>
        </xdr:cNvPr>
        <xdr:cNvSpPr txBox="1"/>
      </xdr:nvSpPr>
      <xdr:spPr>
        <a:xfrm>
          <a:off x="367552" y="4688540"/>
          <a:ext cx="1201272" cy="242048"/>
        </a:xfrm>
        <a:prstGeom prst="rect">
          <a:avLst/>
        </a:prstGeom>
        <a:solidFill>
          <a:srgbClr val="FF9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Happy</a:t>
          </a:r>
          <a:r>
            <a:rPr lang="en-US" sz="1100" b="1" baseline="0"/>
            <a:t> </a:t>
          </a:r>
          <a:r>
            <a:rPr lang="en-US" sz="1200" b="1" baseline="0"/>
            <a:t>Callers</a:t>
          </a:r>
          <a:endParaRPr lang="en-US" sz="1200" b="1"/>
        </a:p>
      </xdr:txBody>
    </xdr:sp>
    <xdr:clientData/>
  </xdr:twoCellAnchor>
  <xdr:twoCellAnchor>
    <xdr:from>
      <xdr:col>1</xdr:col>
      <xdr:colOff>1</xdr:colOff>
      <xdr:row>29</xdr:row>
      <xdr:rowOff>179293</xdr:rowOff>
    </xdr:from>
    <xdr:to>
      <xdr:col>1</xdr:col>
      <xdr:colOff>582707</xdr:colOff>
      <xdr:row>31</xdr:row>
      <xdr:rowOff>44822</xdr:rowOff>
    </xdr:to>
    <xdr:sp macro="" textlink="Pivots!E8">
      <xdr:nvSpPr>
        <xdr:cNvPr id="67" name="TextBox 66">
          <a:extLst>
            <a:ext uri="{FF2B5EF4-FFF2-40B4-BE49-F238E27FC236}">
              <a16:creationId xmlns:a16="http://schemas.microsoft.com/office/drawing/2014/main" id="{B92A0E5A-D76B-419A-B892-2358707E7D43}"/>
            </a:ext>
          </a:extLst>
        </xdr:cNvPr>
        <xdr:cNvSpPr txBox="1"/>
      </xdr:nvSpPr>
      <xdr:spPr>
        <a:xfrm>
          <a:off x="672354" y="5378822"/>
          <a:ext cx="582706" cy="224118"/>
        </a:xfrm>
        <a:prstGeom prst="rect">
          <a:avLst/>
        </a:prstGeom>
        <a:solidFill>
          <a:srgbClr val="FF9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627148-F807-493B-8712-AA756FF38452}" type="TxLink">
            <a:rPr lang="en-US" sz="1100" b="1" i="0" u="none" strike="noStrike">
              <a:solidFill>
                <a:srgbClr val="000000"/>
              </a:solidFill>
              <a:latin typeface="Aptos"/>
            </a:rPr>
            <a:t>60</a:t>
          </a:fld>
          <a:endParaRPr lang="en-US" sz="1100" b="1"/>
        </a:p>
      </xdr:txBody>
    </xdr:sp>
    <xdr:clientData/>
  </xdr:twoCellAnchor>
  <xdr:oneCellAnchor>
    <xdr:from>
      <xdr:col>0</xdr:col>
      <xdr:colOff>165172</xdr:colOff>
      <xdr:row>26</xdr:row>
      <xdr:rowOff>75628</xdr:rowOff>
    </xdr:from>
    <xdr:ext cx="306153" cy="306153"/>
    <xdr:pic>
      <xdr:nvPicPr>
        <xdr:cNvPr id="68" name="Graphic 67">
          <a:extLst>
            <a:ext uri="{FF2B5EF4-FFF2-40B4-BE49-F238E27FC236}">
              <a16:creationId xmlns:a16="http://schemas.microsoft.com/office/drawing/2014/main" id="{F6AE8233-3E53-440B-8AD1-3AB400E3DC9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165172" y="4737275"/>
          <a:ext cx="306153" cy="306153"/>
        </a:xfrm>
        <a:prstGeom prst="rect">
          <a:avLst/>
        </a:prstGeom>
      </xdr:spPr>
    </xdr:pic>
    <xdr:clientData/>
  </xdr:oneCellAnchor>
  <xdr:twoCellAnchor>
    <xdr:from>
      <xdr:col>8</xdr:col>
      <xdr:colOff>215152</xdr:colOff>
      <xdr:row>1</xdr:row>
      <xdr:rowOff>161365</xdr:rowOff>
    </xdr:from>
    <xdr:to>
      <xdr:col>11</xdr:col>
      <xdr:colOff>448236</xdr:colOff>
      <xdr:row>11</xdr:row>
      <xdr:rowOff>125506</xdr:rowOff>
    </xdr:to>
    <xdr:graphicFrame macro="">
      <xdr:nvGraphicFramePr>
        <xdr:cNvPr id="72" name="Chart 71">
          <a:extLst>
            <a:ext uri="{FF2B5EF4-FFF2-40B4-BE49-F238E27FC236}">
              <a16:creationId xmlns:a16="http://schemas.microsoft.com/office/drawing/2014/main" id="{2335B320-B7BA-49A0-B991-E08AD8578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9</xdr:col>
      <xdr:colOff>439270</xdr:colOff>
      <xdr:row>14</xdr:row>
      <xdr:rowOff>89647</xdr:rowOff>
    </xdr:from>
    <xdr:to>
      <xdr:col>11</xdr:col>
      <xdr:colOff>304800</xdr:colOff>
      <xdr:row>23</xdr:row>
      <xdr:rowOff>125506</xdr:rowOff>
    </xdr:to>
    <mc:AlternateContent xmlns:mc="http://schemas.openxmlformats.org/markup-compatibility/2006">
      <mc:Choice xmlns:a14="http://schemas.microsoft.com/office/drawing/2010/main" Requires="a14">
        <xdr:graphicFrame macro="">
          <xdr:nvGraphicFramePr>
            <xdr:cNvPr id="70" name="Representative">
              <a:extLst>
                <a:ext uri="{FF2B5EF4-FFF2-40B4-BE49-F238E27FC236}">
                  <a16:creationId xmlns:a16="http://schemas.microsoft.com/office/drawing/2014/main" id="{016ABEC4-6E46-4377-A70C-E2A78EA968F2}"/>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6490446" y="2644588"/>
              <a:ext cx="1066801" cy="1649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439270</xdr:colOff>
      <xdr:row>0</xdr:row>
      <xdr:rowOff>143435</xdr:rowOff>
    </xdr:from>
    <xdr:to>
      <xdr:col>8</xdr:col>
      <xdr:colOff>224117</xdr:colOff>
      <xdr:row>12</xdr:row>
      <xdr:rowOff>143436</xdr:rowOff>
    </xdr:to>
    <xdr:graphicFrame macro="">
      <xdr:nvGraphicFramePr>
        <xdr:cNvPr id="71" name="Chart 70">
          <a:extLst>
            <a:ext uri="{FF2B5EF4-FFF2-40B4-BE49-F238E27FC236}">
              <a16:creationId xmlns:a16="http://schemas.microsoft.com/office/drawing/2014/main" id="{D116EA25-60D2-43E3-9CA0-82CCD0FA4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457200</xdr:colOff>
      <xdr:row>13</xdr:row>
      <xdr:rowOff>62752</xdr:rowOff>
    </xdr:from>
    <xdr:to>
      <xdr:col>8</xdr:col>
      <xdr:colOff>517694</xdr:colOff>
      <xdr:row>31</xdr:row>
      <xdr:rowOff>152400</xdr:rowOff>
    </xdr:to>
    <xdr:sp macro="" textlink="">
      <xdr:nvSpPr>
        <xdr:cNvPr id="77" name="Rectangle 76">
          <a:extLst>
            <a:ext uri="{FF2B5EF4-FFF2-40B4-BE49-F238E27FC236}">
              <a16:creationId xmlns:a16="http://schemas.microsoft.com/office/drawing/2014/main" id="{8ACBEB35-1768-5F7D-2504-889B21CAA7D2}"/>
            </a:ext>
          </a:extLst>
        </xdr:cNvPr>
        <xdr:cNvSpPr/>
      </xdr:nvSpPr>
      <xdr:spPr>
        <a:xfrm>
          <a:off x="1801906" y="2393576"/>
          <a:ext cx="4094612" cy="331694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448234</xdr:colOff>
      <xdr:row>13</xdr:row>
      <xdr:rowOff>62752</xdr:rowOff>
    </xdr:from>
    <xdr:to>
      <xdr:col>5</xdr:col>
      <xdr:colOff>376517</xdr:colOff>
      <xdr:row>31</xdr:row>
      <xdr:rowOff>107576</xdr:rowOff>
    </xdr:to>
    <xdr:graphicFrame macro="">
      <xdr:nvGraphicFramePr>
        <xdr:cNvPr id="73" name="Chart 72">
          <a:extLst>
            <a:ext uri="{FF2B5EF4-FFF2-40B4-BE49-F238E27FC236}">
              <a16:creationId xmlns:a16="http://schemas.microsoft.com/office/drawing/2014/main" id="{ED9AC119-0984-40A4-BE0B-4AEF83CEC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89647</xdr:colOff>
      <xdr:row>13</xdr:row>
      <xdr:rowOff>62751</xdr:rowOff>
    </xdr:from>
    <xdr:to>
      <xdr:col>9</xdr:col>
      <xdr:colOff>448236</xdr:colOff>
      <xdr:row>31</xdr:row>
      <xdr:rowOff>143435</xdr:rowOff>
    </xdr:to>
    <xdr:graphicFrame macro="">
      <xdr:nvGraphicFramePr>
        <xdr:cNvPr id="74" name="Chart 73">
          <a:extLst>
            <a:ext uri="{FF2B5EF4-FFF2-40B4-BE49-F238E27FC236}">
              <a16:creationId xmlns:a16="http://schemas.microsoft.com/office/drawing/2014/main" id="{16EB5782-56DD-438C-A75E-EC760D9DF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35858</xdr:colOff>
      <xdr:row>0</xdr:row>
      <xdr:rowOff>116542</xdr:rowOff>
    </xdr:from>
    <xdr:to>
      <xdr:col>15</xdr:col>
      <xdr:colOff>502024</xdr:colOff>
      <xdr:row>12</xdr:row>
      <xdr:rowOff>89648</xdr:rowOff>
    </xdr:to>
    <xdr:graphicFrame macro="">
      <xdr:nvGraphicFramePr>
        <xdr:cNvPr id="78" name="Chart 77">
          <a:extLst>
            <a:ext uri="{FF2B5EF4-FFF2-40B4-BE49-F238E27FC236}">
              <a16:creationId xmlns:a16="http://schemas.microsoft.com/office/drawing/2014/main" id="{AA3AF41A-C19C-4762-9425-3D25E5B1F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528918</xdr:colOff>
      <xdr:row>0</xdr:row>
      <xdr:rowOff>116541</xdr:rowOff>
    </xdr:from>
    <xdr:to>
      <xdr:col>18</xdr:col>
      <xdr:colOff>887506</xdr:colOff>
      <xdr:row>12</xdr:row>
      <xdr:rowOff>80682</xdr:rowOff>
    </xdr:to>
    <xdr:graphicFrame macro="">
      <xdr:nvGraphicFramePr>
        <xdr:cNvPr id="79" name="Chart 78">
          <a:extLst>
            <a:ext uri="{FF2B5EF4-FFF2-40B4-BE49-F238E27FC236}">
              <a16:creationId xmlns:a16="http://schemas.microsoft.com/office/drawing/2014/main" id="{44F3226A-00AD-4365-95D8-D9A8CF8C3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Manya Sri Mahanthi" refreshedDate="46029.861654745371" backgroundQuery="1" createdVersion="8" refreshedVersion="8" minRefreshableVersion="3" recordCount="0" supportSubquery="1" supportAdvancedDrill="1" xr:uid="{A67CF923-A606-4D7A-BF52-4E5F462763A3}">
  <cacheSource type="external" connectionId="3"/>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Manya Sri Mahanthi" refreshedDate="46029.924443171294" backgroundQuery="1" createdVersion="8" refreshedVersion="8" minRefreshableVersion="3" recordCount="0" supportSubquery="1" supportAdvancedDrill="1" xr:uid="{86BC125F-CF5E-472C-92EA-6A7CF5588E59}">
  <cacheSource type="external" connectionId="3"/>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Manya Sri Mahanthi" refreshedDate="46030.488214699071" backgroundQuery="1" createdVersion="8" refreshedVersion="8" minRefreshableVersion="3" recordCount="0" supportSubquery="1" supportAdvancedDrill="1" xr:uid="{7ED9D99D-98EE-47C6-AE2A-7BB2D3A1E229}">
  <cacheSource type="external" connectionId="3"/>
  <cacheFields count="3">
    <cacheField name="[customers].[City].[City]" caption="City" numFmtId="0" hierarchy="15" level="1">
      <sharedItems count="3">
        <s v="Cincinnati"/>
        <s v="Cleveland"/>
        <s v="Columbus"/>
      </sharedItems>
    </cacheField>
    <cacheField name="[customers].[Gender].[Gender]" caption="Gend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Manya Sri Mahanthi" refreshedDate="46030.656363657406" backgroundQuery="1" createdVersion="8" refreshedVersion="8" minRefreshableVersion="3" recordCount="0" supportSubquery="1" supportAdvancedDrill="1" xr:uid="{99C5A278-E2DF-4941-A775-0B2051411465}">
  <cacheSource type="external" connectionId="3"/>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Manya Sri Mahanthi" refreshedDate="46030.706831944444" backgroundQuery="1" createdVersion="8" refreshedVersion="8" minRefreshableVersion="3" recordCount="0" supportSubquery="1" supportAdvancedDrill="1" xr:uid="{061EC4C7-A844-4DD4-8C9C-1C7C956C7643}">
  <cacheSource type="external" connectionId="3"/>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Manya Sri Mahanthi" refreshedDate="46030.706832291668" backgroundQuery="1" createdVersion="8" refreshedVersion="8" minRefreshableVersion="3" recordCount="0" supportSubquery="1" supportAdvancedDrill="1" xr:uid="{D2D32E64-43BA-43CF-82BD-7637A285E3B2}">
  <cacheSource type="external" connectionId="3"/>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149">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d v="2023-02-01T00:00:00"/>
        <d v="2023-02-02T00:00:00"/>
        <d v="2023-02-04T00:00:00"/>
        <d v="2023-02-08T00:00:00"/>
        <d v="2023-02-09T00:00:00"/>
        <d v="2023-02-10T00:00:00"/>
        <d v="2023-02-16T00:00:00"/>
        <d v="2023-02-17T00:00:00"/>
        <d v="2023-02-18T00:00:00"/>
        <d v="2023-02-19T00:00:00"/>
        <d v="2023-02-21T00:00:00"/>
        <d v="2023-02-24T00:00:00"/>
        <d v="2023-02-25T00:00:00"/>
        <d v="2023-02-26T00:00:00"/>
        <d v="2023-02-27T00:00:00"/>
        <d v="2023-03-03T00:00:00"/>
        <d v="2023-03-05T00:00:00"/>
        <d v="2023-03-07T00:00:00"/>
        <d v="2023-03-09T00:00:00"/>
        <d v="2023-03-10T00:00:00"/>
        <d v="2023-03-11T00:00:00"/>
        <d v="2023-03-13T00:00:00"/>
        <d v="2023-03-14T00:00:00"/>
        <d v="2023-03-15T00:00:00"/>
        <d v="2023-03-16T00:00:00"/>
        <d v="2023-03-17T00:00:00"/>
        <d v="2023-03-20T00:00:00"/>
        <d v="2023-03-21T00:00:00"/>
        <d v="2023-03-25T00:00:00"/>
        <d v="2023-03-26T00:00:00"/>
        <d v="2023-03-29T00:00:00"/>
        <d v="2023-03-31T00:00:00"/>
        <d v="2023-04-02T00:00:00"/>
        <d v="2023-04-06T00:00:00"/>
        <d v="2023-04-07T00:00:00"/>
        <d v="2023-04-08T00:00:00"/>
        <d v="2023-04-09T00:00:00"/>
        <d v="2023-04-11T00:00:00"/>
        <d v="2023-04-12T00:00:00"/>
        <d v="2023-04-15T00:00:00"/>
        <d v="2023-04-17T00:00:00"/>
        <d v="2023-04-18T00:00:00"/>
        <d v="2023-04-21T00:00:00"/>
        <d v="2023-04-22T00:00:00"/>
        <d v="2023-04-26T00:00:00"/>
        <d v="2023-04-27T00:00:00"/>
        <d v="2023-05-01T00:00:00"/>
        <d v="2023-05-08T00:00:00"/>
        <d v="2023-05-24T00:00:00"/>
        <d v="2023-05-26T00:00:00"/>
        <d v="2023-05-28T00:00:00"/>
        <d v="2023-05-29T00:00:00"/>
        <d v="2023-05-30T00:00:00"/>
        <d v="2023-06-09T00:00:00"/>
        <d v="2023-06-11T00:00:00"/>
        <d v="2023-06-13T00:00:00"/>
        <d v="2023-06-15T00:00:00"/>
        <d v="2023-06-21T00:00:00"/>
        <d v="2023-06-23T00:00:00"/>
        <d v="2023-06-24T00:00:00"/>
        <d v="2023-06-26T00:00:00"/>
        <d v="2023-06-28T00:00:00"/>
        <d v="2023-07-01T00:00:00"/>
        <d v="2023-07-05T00:00:00"/>
        <d v="2023-07-06T00:00:00"/>
        <d v="2023-07-08T00:00:00"/>
        <d v="2023-07-14T00:00:00"/>
        <d v="2023-07-19T00:00:00"/>
        <d v="2023-07-22T00:00:00"/>
        <d v="2023-07-27T00:00:00"/>
        <d v="2023-07-28T00:00:00"/>
        <d v="2023-07-31T00:00:00"/>
        <d v="2023-08-02T00:00:00"/>
        <d v="2023-08-10T00:00:00"/>
        <d v="2023-08-16T00:00:00"/>
        <d v="2023-08-18T00:00:00"/>
        <d v="2023-08-19T00:00:00"/>
        <d v="2023-08-27T00:00:00"/>
        <d v="2023-08-30T00:00:00"/>
        <d v="2023-09-01T00:00:00"/>
        <d v="2023-09-04T00:00:00"/>
        <d v="2023-09-05T00:00:00"/>
        <d v="2023-09-06T00:00:00"/>
        <d v="2023-09-08T00:00:00"/>
        <d v="2023-09-10T00:00:00"/>
        <d v="2023-09-15T00:00:00"/>
        <d v="2023-09-17T00:00:00"/>
        <d v="2023-09-20T00:00:00"/>
        <d v="2023-09-21T00:00:00"/>
        <d v="2023-09-22T00:00:00"/>
        <d v="2023-09-23T00:00:00"/>
        <d v="2023-09-24T00:00:00"/>
        <d v="2023-09-26T00:00:00"/>
        <d v="2023-09-29T00:00:00"/>
        <d v="2023-09-30T00:00:00"/>
        <d v="2023-10-01T00:00:00"/>
        <d v="2023-10-03T00:00:00"/>
        <d v="2023-10-04T00:00:00"/>
        <d v="2023-10-05T00:00:00"/>
        <d v="2023-10-06T00:00:00"/>
        <d v="2023-10-10T00:00:00"/>
        <d v="2023-10-12T00:00:00"/>
        <d v="2023-10-14T00:00:00"/>
        <d v="2023-10-17T00:00:00"/>
        <d v="2023-10-21T00:00:00"/>
        <d v="2023-10-23T00:00:00"/>
        <d v="2023-10-24T00:00:00"/>
        <d v="2023-10-26T00:00:00"/>
        <d v="2023-10-27T00:00:00"/>
        <d v="2023-10-29T00:00:00"/>
        <d v="2023-10-30T00:00:00"/>
        <d v="2023-11-04T00:00:00"/>
        <d v="2023-11-08T00:00:00"/>
        <d v="2023-11-09T00:00:00"/>
        <d v="2023-11-11T00:00:00"/>
        <d v="2023-11-12T00:00:00"/>
        <d v="2023-11-13T00:00:00"/>
        <d v="2023-11-14T00:00:00"/>
        <d v="2023-11-15T00:00:00"/>
        <d v="2023-11-17T00:00:00"/>
        <d v="2023-11-18T00:00:00"/>
        <d v="2023-11-24T00:00:00"/>
        <d v="2023-11-28T00:00:0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Manya Sri Mahanthi" refreshedDate="46030.706832870368" backgroundQuery="1" createdVersion="8" refreshedVersion="8" minRefreshableVersion="3" recordCount="0" supportSubquery="1" supportAdvancedDrill="1" xr:uid="{CF1E3424-DEA1-4903-B6EC-778FD910C2ED}">
  <cacheSource type="external" connectionId="3"/>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Manya Sri Mahanthi" refreshedDate="46030.706833217591" backgroundQuery="1" createdVersion="8" refreshedVersion="8" minRefreshableVersion="3" recordCount="0" supportSubquery="1" supportAdvancedDrill="1" xr:uid="{E5077271-8ED8-446F-A1C4-D78B050F2EC1}">
  <cacheSource type="external" connectionId="3"/>
  <cacheFields count="1">
    <cacheField name="[calls].[Representative].[Representative]" caption="Representative" numFmtId="0" hierarchy="3" level="1">
      <sharedItems count="1">
        <s v="R01"/>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Manya Sri Mahanthi" refreshedDate="46030.706833680553" backgroundQuery="1" createdVersion="8" refreshedVersion="8" minRefreshableVersion="3" recordCount="0" supportSubquery="1" supportAdvancedDrill="1" xr:uid="{478C8741-E5DB-477A-8E2A-6BE8F4EE515E}">
  <cacheSource type="external" connectionId="3"/>
  <cacheFields count="3">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Manya Sri Mahanthi" refreshedDate="46029.861647337966" backgroundQuery="1" createdVersion="3" refreshedVersion="8" minRefreshableVersion="3" recordCount="0" supportSubquery="1" supportAdvancedDrill="1" xr:uid="{6D01F443-B0EE-43DD-8E9D-54F6A39CA751}">
  <cacheSource type="external" connectionId="3">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078962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449B1E-FFAD-4853-8A70-18D2E76FE890}" name="PivotTable11" cacheId="1109"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5">
  <location ref="A51:G70"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B1BB99-81F6-4A9C-AD37-589D6BC7D05F}" name="Rep Satisfaction" cacheId="14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H42:I4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B01A2D-DE2F-4DD1-B74B-6AC481727378}" name="PivotTable7" cacheId="9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42:F47"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5">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pivotArea type="data" outline="0" fieldPosition="0">
        <references count="3">
          <reference field="4294967294" count="1" selected="0">
            <x v="0"/>
          </reference>
          <reference field="0" count="1" selected="0">
            <x v="0"/>
          </reference>
          <reference field="1" count="1" selected="0">
            <x v="0"/>
          </reference>
        </references>
      </pivotArea>
    </chartFormat>
    <chartFormat chart="5" format="7">
      <pivotArea type="data" outline="0" fieldPosition="0">
        <references count="3">
          <reference field="4294967294" count="1" selected="0">
            <x v="0"/>
          </reference>
          <reference field="0" count="1" selected="0">
            <x v="1"/>
          </reference>
          <reference field="1" count="1" selected="0">
            <x v="0"/>
          </reference>
        </references>
      </pivotArea>
    </chartFormat>
    <chartFormat chart="5" format="8">
      <pivotArea type="data" outline="0" fieldPosition="0">
        <references count="3">
          <reference field="4294967294" count="1" selected="0">
            <x v="0"/>
          </reference>
          <reference field="0" count="1" selected="0">
            <x v="2"/>
          </reference>
          <reference field="1"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09251F-B46F-44D3-AE46-3836F3D353EE}" name="selected rep" cacheId="149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42:A43"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5">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4A7305-0693-4706-A210-631087E6B03E}" name="PivotTable3" cacheId="1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9:C35"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566276-388E-4FB3-A98E-C62C9D62CBF2}" name="PivotTable2" cacheId="14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E12:F20"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3">
    <chartFormat chart="23"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14477B-4F48-48BA-97E6-E741E710714E}" name="PivotTable1" cacheId="14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12:C2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16" format="4" series="1">
      <pivotArea type="data" outline="0" fieldPosition="0">
        <references count="1">
          <reference field="4294967294" count="1" selected="0">
            <x v="1"/>
          </reference>
        </references>
      </pivotArea>
    </chartFormat>
    <chartFormat chart="16"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B8DFDF-0A52-442E-8BDE-5AF3BA5C5BF7}" name="Summary Pivot" cacheId="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1" numFmtId="167"/>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F4483F-3BFF-4F06-A432-4B5AEE0F62CD}" name="rep summary pivot" cacheId="14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1" numFmtId="167"/>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07BF25F-15A3-467E-8463-F7D13CABA4E0}"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5454957D-C801-4144-B543-96F8ADFC1828}"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A person in a skirt and a cardigan
Description automatically generated</v>
  </rv>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9FBA831D-5EC1-4828-B158-F9E5182F2050}" sourceName="[calls].[Representative]">
  <pivotTables>
    <pivotTable tabId="6" name="rep summary pivot"/>
    <pivotTable tabId="6" name="PivotTable1"/>
    <pivotTable tabId="6" name="PivotTable2"/>
    <pivotTable tabId="6" name="selected rep"/>
    <pivotTable tabId="6" name="Rep Satisfaction"/>
  </pivotTables>
  <data>
    <olap pivotCacheId="907896219">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6A1469B-23C5-423E-A7B6-FCEF86CD2299}" cache="Slicer_Representative" caption="Representative" showCaption="0"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9A313D-FA52-4592-B11B-EC79D1C6137D}" name="Table_ExternalData_1" displayName="Table_ExternalData_1" ref="A3:M329" tableType="queryTable" totalsRowShown="0">
  <autoFilter ref="A3:M329" xr:uid="{AA9A313D-FA52-4592-B11B-EC79D1C6137D}"/>
  <tableColumns count="13">
    <tableColumn id="1" xr3:uid="{B18E27D2-D2F7-4B41-BB5E-6B4B05EC0EFF}" uniqueName="1" name="calls[Call number]" queryTableFieldId="1"/>
    <tableColumn id="2" xr3:uid="{5222ABAD-8011-42ED-AE36-E36971DE0ACE}" uniqueName="2" name="calls[Customer ID]" queryTableFieldId="2"/>
    <tableColumn id="3" xr3:uid="{17D2B73F-5721-4B9D-84B8-21A4533F469A}" uniqueName="3" name="calls[Duration]" queryTableFieldId="3"/>
    <tableColumn id="4" xr3:uid="{2B388F94-ABCA-4D18-972A-E3223A066DF2}" uniqueName="4" name="calls[Representative]" queryTableFieldId="4"/>
    <tableColumn id="5" xr3:uid="{05BC1E93-E03C-4418-85AC-ED6684999CAC}" uniqueName="5" name="calls[Date of Call]" queryTableFieldId="5" dataDxfId="26"/>
    <tableColumn id="6" xr3:uid="{B629880F-3E9B-40E5-AFB0-5DD0AD1A6921}" uniqueName="6" name="calls[Purchase Amount]" queryTableFieldId="6"/>
    <tableColumn id="7" xr3:uid="{007D5760-CD19-4E06-9671-11833E85DEB8}" uniqueName="7" name="calls[Satisfaction Rating]" queryTableFieldId="7"/>
    <tableColumn id="8" xr3:uid="{6F0C2F23-4015-4529-9095-51D6CC513896}" uniqueName="8" name="calls[FY]" queryTableFieldId="8"/>
    <tableColumn id="9" xr3:uid="{6A772646-3CFC-43AA-B0D5-F40F778DB8CF}" uniqueName="9" name="calls[Day of week]" queryTableFieldId="9"/>
    <tableColumn id="10" xr3:uid="{14855E95-A918-446D-A634-182595987BE8}" uniqueName="10" name="calls[Duration Bucket]" queryTableFieldId="10"/>
    <tableColumn id="11" xr3:uid="{C78A6548-A1FC-40A0-BBA8-5CC1FAB95304}" uniqueName="11" name="calls[Rating rounded]" queryTableFieldId="11"/>
    <tableColumn id="12" xr3:uid="{E0BDA5B0-AA59-446C-A45E-805C1C8B93CF}" uniqueName="12" name="calls[Date of Call (Month)]" queryTableFieldId="12"/>
    <tableColumn id="13" xr3:uid="{CF15B911-085A-4437-8F91-77931F183252}"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1A30624-2728-4FA0-B7F6-09AE6065101E}" name="Table_ExternalData_15" displayName="Table_ExternalData_15" ref="A3:M602" tableType="queryTable" totalsRowShown="0">
  <autoFilter ref="A3:M602" xr:uid="{41A30624-2728-4FA0-B7F6-09AE6065101E}"/>
  <tableColumns count="13">
    <tableColumn id="1" xr3:uid="{26CACCF6-9FB0-4D24-A133-34995400C985}" uniqueName="1" name="calls[Call number]" queryTableFieldId="1"/>
    <tableColumn id="2" xr3:uid="{5FBE11CE-437A-4885-9765-565379A6BF00}" uniqueName="2" name="calls[Customer ID]" queryTableFieldId="2"/>
    <tableColumn id="3" xr3:uid="{EF220DE2-F37B-4501-90DF-40E131E2B53D}" uniqueName="3" name="calls[Duration]" queryTableFieldId="3"/>
    <tableColumn id="4" xr3:uid="{43A23AA7-1520-49DC-B1A1-C4DB1454A07B}" uniqueName="4" name="calls[Representative]" queryTableFieldId="4"/>
    <tableColumn id="5" xr3:uid="{1D3FEF96-EA63-4926-8117-9CCD5DEB1330}" uniqueName="5" name="calls[Date of Call]" queryTableFieldId="5" dataDxfId="25"/>
    <tableColumn id="6" xr3:uid="{5F0DF660-018E-4689-A056-17ABAE16F50D}" uniqueName="6" name="calls[Purchase Amount]" queryTableFieldId="6"/>
    <tableColumn id="7" xr3:uid="{10DDC8AA-AD1A-4D85-906F-A5AE1A7E15F8}" uniqueName="7" name="calls[Satisfaction Rating]" queryTableFieldId="7"/>
    <tableColumn id="8" xr3:uid="{D0772E3A-E099-4B59-9C3A-A2B719FB7D4E}" uniqueName="8" name="calls[FY]" queryTableFieldId="8"/>
    <tableColumn id="9" xr3:uid="{16B80123-77EB-48A4-9699-F873210B5EB3}" uniqueName="9" name="calls[Day of week]" queryTableFieldId="9"/>
    <tableColumn id="10" xr3:uid="{EAD5179F-D70E-4F47-B902-BB3E9391025F}" uniqueName="10" name="calls[Duration Bucket]" queryTableFieldId="10"/>
    <tableColumn id="11" xr3:uid="{B6993C1D-32CF-48BB-ABD1-9551BFC237CB}" uniqueName="11" name="calls[Rating rounded]" queryTableFieldId="11"/>
    <tableColumn id="12" xr3:uid="{AC59959C-C044-42E7-9BDD-504774E1AD77}" uniqueName="12" name="calls[Date of Call (Month)]" queryTableFieldId="12"/>
    <tableColumn id="13" xr3:uid="{01961752-E039-4396-81C2-26F131D3D9B4}" uniqueName="13" name="calls[Date of Call (Month Index)]"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41"/>
    <tableColumn id="5" xr3:uid="{5A35565E-8707-4DED-AD15-A0669D67B382}" name="Date of Call" dataDxfId="40"/>
    <tableColumn id="6" xr3:uid="{F2E4F158-B41F-47BC-8DF8-DFCADFEE4E40}" name="Purchase Amount"/>
    <tableColumn id="7" xr3:uid="{04B291B5-47BD-4F78-8FD8-D1551CCA6BD9}" name="Satisfaction Rating"/>
    <tableColumn id="8" xr3:uid="{6E4123C0-0B17-43B8-A142-A1E540CE974C}" name="FY" dataDxfId="39">
      <calculatedColumnFormula>IF(MONTH(calls[[#This Row],[Date of Call]])&lt;=6, YEAR(calls[[#This Row],[Date of Call]]), YEAR(calls[[#This Row],[Date of Call]])+1)</calculatedColumnFormula>
    </tableColumn>
    <tableColumn id="9" xr3:uid="{199FA271-5E9B-46CE-9BC6-2801F92CD17E}" name="Day of week" dataDxfId="38">
      <calculatedColumnFormula>TEXT(calls[[#This Row],[Date of Call]],"DDDD")</calculatedColumnFormula>
    </tableColumn>
    <tableColumn id="10" xr3:uid="{328CDB09-95B8-4D5E-9ED9-EF0D363735A1}" name="Duration Bucket" dataDxfId="37">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36">
      <calculatedColumnFormula>ROUND(calls[[#This Row],[Satisfaction Rating]],0)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35" headerRowBorderDxfId="34" tableBorderDxfId="33" totalsRowBorderDxfId="32">
  <autoFilter ref="Q3:T18" xr:uid="{27158F51-A707-4171-8A04-81FB0AABCBA5}"/>
  <tableColumns count="4">
    <tableColumn id="1" xr3:uid="{02688061-6A8C-4E23-B7FF-D00CD8B58CAC}" name="Customer ID" dataDxfId="31"/>
    <tableColumn id="2" xr3:uid="{771678B6-DB44-426B-9874-B4E421A440D5}" name="Gender" dataDxfId="30"/>
    <tableColumn id="3" xr3:uid="{B0D41C62-587E-494D-B49A-603F2C05F8D3}" name="Age" dataDxfId="29"/>
    <tableColumn id="4" xr3:uid="{663F92D6-FE31-4D81-9E01-8D066DDC8A88}" name="City" dataDxfId="28"/>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3E907-7270-4989-AC84-EECA64480C9C}">
  <dimension ref="A1:M329"/>
  <sheetViews>
    <sheetView zoomScale="80" workbookViewId="0"/>
  </sheetViews>
  <sheetFormatPr defaultRowHeight="14.4" x14ac:dyDescent="0.3"/>
  <cols>
    <col min="1" max="1" width="18.19921875" bestFit="1" customWidth="1"/>
    <col min="2" max="2" width="18.3984375" bestFit="1" customWidth="1"/>
    <col min="3" max="3" width="15.19921875" bestFit="1" customWidth="1"/>
    <col min="4" max="4" width="20.59765625" bestFit="1" customWidth="1"/>
    <col min="5" max="5" width="17.69921875" bestFit="1" customWidth="1"/>
    <col min="6" max="6" width="22.59765625" bestFit="1" customWidth="1"/>
    <col min="7" max="7" width="23.59765625" bestFit="1" customWidth="1"/>
    <col min="8" max="8" width="10.09765625" bestFit="1" customWidth="1"/>
    <col min="9" max="9" width="18.09765625" bestFit="1" customWidth="1"/>
    <col min="10" max="10" width="21.3984375" bestFit="1" customWidth="1"/>
    <col min="11" max="11" width="20.59765625" bestFit="1" customWidth="1"/>
    <col min="12" max="12" width="24.3984375" bestFit="1" customWidth="1"/>
    <col min="13" max="13" width="29.3984375" bestFit="1" customWidth="1"/>
  </cols>
  <sheetData>
    <row r="1" spans="1:13" x14ac:dyDescent="0.3">
      <c r="A1" s="14" t="s">
        <v>1092</v>
      </c>
    </row>
    <row r="3" spans="1:13" x14ac:dyDescent="0.3">
      <c r="A3" t="s">
        <v>1074</v>
      </c>
      <c r="B3" t="s">
        <v>1075</v>
      </c>
      <c r="C3" t="s">
        <v>1076</v>
      </c>
      <c r="D3" t="s">
        <v>1077</v>
      </c>
      <c r="E3" t="s">
        <v>1078</v>
      </c>
      <c r="F3" t="s">
        <v>1079</v>
      </c>
      <c r="G3" t="s">
        <v>1080</v>
      </c>
      <c r="H3" t="s">
        <v>1081</v>
      </c>
      <c r="I3" t="s">
        <v>1082</v>
      </c>
      <c r="J3" t="s">
        <v>1083</v>
      </c>
      <c r="K3" t="s">
        <v>1084</v>
      </c>
      <c r="L3" t="s">
        <v>1085</v>
      </c>
      <c r="M3" t="s">
        <v>1086</v>
      </c>
    </row>
    <row r="4" spans="1:13" x14ac:dyDescent="0.3">
      <c r="A4" t="s">
        <v>32</v>
      </c>
      <c r="B4" t="s">
        <v>15</v>
      </c>
      <c r="C4">
        <v>84</v>
      </c>
      <c r="D4" t="s">
        <v>10</v>
      </c>
      <c r="E4" s="32">
        <v>44929</v>
      </c>
      <c r="F4">
        <v>60</v>
      </c>
      <c r="G4">
        <v>4.7</v>
      </c>
      <c r="H4">
        <v>2023</v>
      </c>
      <c r="I4" t="s">
        <v>1067</v>
      </c>
      <c r="J4" t="s">
        <v>1087</v>
      </c>
      <c r="K4">
        <v>5</v>
      </c>
      <c r="L4" t="s">
        <v>1049</v>
      </c>
      <c r="M4">
        <v>1</v>
      </c>
    </row>
    <row r="5" spans="1:13" x14ac:dyDescent="0.3">
      <c r="A5" t="s">
        <v>35</v>
      </c>
      <c r="B5" t="s">
        <v>18</v>
      </c>
      <c r="C5">
        <v>44</v>
      </c>
      <c r="D5" t="s">
        <v>6</v>
      </c>
      <c r="E5" s="32">
        <v>44929</v>
      </c>
      <c r="F5">
        <v>105</v>
      </c>
      <c r="G5">
        <v>2.9</v>
      </c>
      <c r="H5">
        <v>2023</v>
      </c>
      <c r="I5" t="s">
        <v>1067</v>
      </c>
      <c r="J5" t="s">
        <v>1088</v>
      </c>
      <c r="K5">
        <v>3</v>
      </c>
      <c r="L5" t="s">
        <v>1049</v>
      </c>
      <c r="M5">
        <v>1</v>
      </c>
    </row>
    <row r="6" spans="1:13" x14ac:dyDescent="0.3">
      <c r="A6" t="s">
        <v>37</v>
      </c>
      <c r="B6" t="s">
        <v>14</v>
      </c>
      <c r="C6">
        <v>135</v>
      </c>
      <c r="D6" t="s">
        <v>10</v>
      </c>
      <c r="E6" s="32">
        <v>44929</v>
      </c>
      <c r="F6">
        <v>46</v>
      </c>
      <c r="G6">
        <v>3.4</v>
      </c>
      <c r="H6">
        <v>2023</v>
      </c>
      <c r="I6" t="s">
        <v>1067</v>
      </c>
      <c r="J6" t="s">
        <v>1089</v>
      </c>
      <c r="K6">
        <v>3</v>
      </c>
      <c r="L6" t="s">
        <v>1049</v>
      </c>
      <c r="M6">
        <v>1</v>
      </c>
    </row>
    <row r="7" spans="1:13" x14ac:dyDescent="0.3">
      <c r="A7" t="s">
        <v>39</v>
      </c>
      <c r="B7" t="s">
        <v>18</v>
      </c>
      <c r="C7">
        <v>139</v>
      </c>
      <c r="D7" t="s">
        <v>9</v>
      </c>
      <c r="E7" s="32">
        <v>44930</v>
      </c>
      <c r="F7">
        <v>96</v>
      </c>
      <c r="G7">
        <v>4</v>
      </c>
      <c r="H7">
        <v>2023</v>
      </c>
      <c r="I7" t="s">
        <v>1068</v>
      </c>
      <c r="J7" t="s">
        <v>1089</v>
      </c>
      <c r="K7">
        <v>4</v>
      </c>
      <c r="L7" t="s">
        <v>1049</v>
      </c>
      <c r="M7">
        <v>1</v>
      </c>
    </row>
    <row r="8" spans="1:13" x14ac:dyDescent="0.3">
      <c r="A8" t="s">
        <v>40</v>
      </c>
      <c r="B8" t="s">
        <v>14</v>
      </c>
      <c r="C8">
        <v>48</v>
      </c>
      <c r="D8" t="s">
        <v>11</v>
      </c>
      <c r="E8" s="32">
        <v>44930</v>
      </c>
      <c r="F8">
        <v>68</v>
      </c>
      <c r="G8">
        <v>4.9000000000000004</v>
      </c>
      <c r="H8">
        <v>2023</v>
      </c>
      <c r="I8" t="s">
        <v>1068</v>
      </c>
      <c r="J8" t="s">
        <v>1088</v>
      </c>
      <c r="K8">
        <v>5</v>
      </c>
      <c r="L8" t="s">
        <v>1049</v>
      </c>
      <c r="M8">
        <v>1</v>
      </c>
    </row>
    <row r="9" spans="1:13" x14ac:dyDescent="0.3">
      <c r="A9" t="s">
        <v>41</v>
      </c>
      <c r="B9" t="s">
        <v>18</v>
      </c>
      <c r="C9">
        <v>176</v>
      </c>
      <c r="D9" t="s">
        <v>10</v>
      </c>
      <c r="E9" s="32">
        <v>44931</v>
      </c>
      <c r="F9">
        <v>24</v>
      </c>
      <c r="G9">
        <v>4.8</v>
      </c>
      <c r="H9">
        <v>2023</v>
      </c>
      <c r="I9" t="s">
        <v>1066</v>
      </c>
      <c r="J9" t="s">
        <v>1089</v>
      </c>
      <c r="K9">
        <v>5</v>
      </c>
      <c r="L9" t="s">
        <v>1049</v>
      </c>
      <c r="M9">
        <v>1</v>
      </c>
    </row>
    <row r="10" spans="1:13" x14ac:dyDescent="0.3">
      <c r="A10" t="s">
        <v>42</v>
      </c>
      <c r="B10" t="s">
        <v>18</v>
      </c>
      <c r="C10">
        <v>99</v>
      </c>
      <c r="D10" t="s">
        <v>11</v>
      </c>
      <c r="E10" s="32">
        <v>44931</v>
      </c>
      <c r="F10">
        <v>195</v>
      </c>
      <c r="G10">
        <v>3.9</v>
      </c>
      <c r="H10">
        <v>2023</v>
      </c>
      <c r="I10" t="s">
        <v>1066</v>
      </c>
      <c r="J10" t="s">
        <v>1087</v>
      </c>
      <c r="K10">
        <v>4</v>
      </c>
      <c r="L10" t="s">
        <v>1049</v>
      </c>
      <c r="M10">
        <v>1</v>
      </c>
    </row>
    <row r="11" spans="1:13" x14ac:dyDescent="0.3">
      <c r="A11" t="s">
        <v>44</v>
      </c>
      <c r="B11" t="s">
        <v>15</v>
      </c>
      <c r="C11">
        <v>54</v>
      </c>
      <c r="D11" t="s">
        <v>9</v>
      </c>
      <c r="E11" s="32">
        <v>44931</v>
      </c>
      <c r="F11">
        <v>170</v>
      </c>
      <c r="G11">
        <v>4.3</v>
      </c>
      <c r="H11">
        <v>2023</v>
      </c>
      <c r="I11" t="s">
        <v>1066</v>
      </c>
      <c r="J11" t="s">
        <v>1088</v>
      </c>
      <c r="K11">
        <v>4</v>
      </c>
      <c r="L11" t="s">
        <v>1049</v>
      </c>
      <c r="M11">
        <v>1</v>
      </c>
    </row>
    <row r="12" spans="1:13" x14ac:dyDescent="0.3">
      <c r="A12" t="s">
        <v>49</v>
      </c>
      <c r="B12" t="s">
        <v>19</v>
      </c>
      <c r="C12">
        <v>58</v>
      </c>
      <c r="D12" t="s">
        <v>9</v>
      </c>
      <c r="E12" s="32">
        <v>44934</v>
      </c>
      <c r="F12">
        <v>140</v>
      </c>
      <c r="G12">
        <v>2.1</v>
      </c>
      <c r="H12">
        <v>2023</v>
      </c>
      <c r="I12" t="s">
        <v>1065</v>
      </c>
      <c r="J12" t="s">
        <v>1088</v>
      </c>
      <c r="K12">
        <v>2</v>
      </c>
      <c r="L12" t="s">
        <v>1049</v>
      </c>
      <c r="M12">
        <v>1</v>
      </c>
    </row>
    <row r="13" spans="1:13" x14ac:dyDescent="0.3">
      <c r="A13" t="s">
        <v>50</v>
      </c>
      <c r="B13" t="s">
        <v>18</v>
      </c>
      <c r="C13">
        <v>54</v>
      </c>
      <c r="D13" t="s">
        <v>11</v>
      </c>
      <c r="E13" s="32">
        <v>44934</v>
      </c>
      <c r="F13">
        <v>111</v>
      </c>
      <c r="G13">
        <v>3.3</v>
      </c>
      <c r="H13">
        <v>2023</v>
      </c>
      <c r="I13" t="s">
        <v>1065</v>
      </c>
      <c r="J13" t="s">
        <v>1088</v>
      </c>
      <c r="K13">
        <v>3</v>
      </c>
      <c r="L13" t="s">
        <v>1049</v>
      </c>
      <c r="M13">
        <v>1</v>
      </c>
    </row>
    <row r="14" spans="1:13" x14ac:dyDescent="0.3">
      <c r="A14" t="s">
        <v>55</v>
      </c>
      <c r="B14" t="s">
        <v>19</v>
      </c>
      <c r="C14">
        <v>155</v>
      </c>
      <c r="D14" t="s">
        <v>11</v>
      </c>
      <c r="E14" s="32">
        <v>44936</v>
      </c>
      <c r="F14">
        <v>110</v>
      </c>
      <c r="G14">
        <v>4.8</v>
      </c>
      <c r="H14">
        <v>2023</v>
      </c>
      <c r="I14" t="s">
        <v>1067</v>
      </c>
      <c r="J14" t="s">
        <v>1089</v>
      </c>
      <c r="K14">
        <v>5</v>
      </c>
      <c r="L14" t="s">
        <v>1049</v>
      </c>
      <c r="M14">
        <v>1</v>
      </c>
    </row>
    <row r="15" spans="1:13" x14ac:dyDescent="0.3">
      <c r="A15" t="s">
        <v>62</v>
      </c>
      <c r="B15" t="s">
        <v>19</v>
      </c>
      <c r="C15">
        <v>94</v>
      </c>
      <c r="D15" t="s">
        <v>6</v>
      </c>
      <c r="E15" s="32">
        <v>44942</v>
      </c>
      <c r="F15">
        <v>120</v>
      </c>
      <c r="G15">
        <v>3.1</v>
      </c>
      <c r="H15">
        <v>2023</v>
      </c>
      <c r="I15" t="s">
        <v>1063</v>
      </c>
      <c r="J15" t="s">
        <v>1087</v>
      </c>
      <c r="K15">
        <v>3</v>
      </c>
      <c r="L15" t="s">
        <v>1049</v>
      </c>
      <c r="M15">
        <v>1</v>
      </c>
    </row>
    <row r="16" spans="1:13" x14ac:dyDescent="0.3">
      <c r="A16" t="s">
        <v>64</v>
      </c>
      <c r="B16" t="s">
        <v>19</v>
      </c>
      <c r="C16">
        <v>81</v>
      </c>
      <c r="D16" t="s">
        <v>13</v>
      </c>
      <c r="E16" s="32">
        <v>44943</v>
      </c>
      <c r="F16">
        <v>86</v>
      </c>
      <c r="G16">
        <v>2.4</v>
      </c>
      <c r="H16">
        <v>2023</v>
      </c>
      <c r="I16" t="s">
        <v>1067</v>
      </c>
      <c r="J16" t="s">
        <v>1087</v>
      </c>
      <c r="K16">
        <v>2</v>
      </c>
      <c r="L16" t="s">
        <v>1049</v>
      </c>
      <c r="M16">
        <v>1</v>
      </c>
    </row>
    <row r="17" spans="1:13" x14ac:dyDescent="0.3">
      <c r="A17" t="s">
        <v>67</v>
      </c>
      <c r="B17" t="s">
        <v>18</v>
      </c>
      <c r="C17">
        <v>105</v>
      </c>
      <c r="D17" t="s">
        <v>9</v>
      </c>
      <c r="E17" s="32">
        <v>44944</v>
      </c>
      <c r="F17">
        <v>80</v>
      </c>
      <c r="G17">
        <v>4.7</v>
      </c>
      <c r="H17">
        <v>2023</v>
      </c>
      <c r="I17" t="s">
        <v>1068</v>
      </c>
      <c r="J17" t="s">
        <v>1087</v>
      </c>
      <c r="K17">
        <v>5</v>
      </c>
      <c r="L17" t="s">
        <v>1049</v>
      </c>
      <c r="M17">
        <v>1</v>
      </c>
    </row>
    <row r="18" spans="1:13" x14ac:dyDescent="0.3">
      <c r="A18" t="s">
        <v>69</v>
      </c>
      <c r="B18" t="s">
        <v>14</v>
      </c>
      <c r="C18">
        <v>132</v>
      </c>
      <c r="D18" t="s">
        <v>6</v>
      </c>
      <c r="E18" s="32">
        <v>44944</v>
      </c>
      <c r="F18">
        <v>168</v>
      </c>
      <c r="G18">
        <v>4.0999999999999996</v>
      </c>
      <c r="H18">
        <v>2023</v>
      </c>
      <c r="I18" t="s">
        <v>1068</v>
      </c>
      <c r="J18" t="s">
        <v>1089</v>
      </c>
      <c r="K18">
        <v>4</v>
      </c>
      <c r="L18" t="s">
        <v>1049</v>
      </c>
      <c r="M18">
        <v>1</v>
      </c>
    </row>
    <row r="19" spans="1:13" x14ac:dyDescent="0.3">
      <c r="A19" t="s">
        <v>77</v>
      </c>
      <c r="B19" t="s">
        <v>14</v>
      </c>
      <c r="C19">
        <v>100</v>
      </c>
      <c r="D19" t="s">
        <v>13</v>
      </c>
      <c r="E19" s="32">
        <v>44947</v>
      </c>
      <c r="F19">
        <v>135</v>
      </c>
      <c r="G19">
        <v>3.8</v>
      </c>
      <c r="H19">
        <v>2023</v>
      </c>
      <c r="I19" t="s">
        <v>1064</v>
      </c>
      <c r="J19" t="s">
        <v>1087</v>
      </c>
      <c r="K19">
        <v>4</v>
      </c>
      <c r="L19" t="s">
        <v>1049</v>
      </c>
      <c r="M19">
        <v>1</v>
      </c>
    </row>
    <row r="20" spans="1:13" x14ac:dyDescent="0.3">
      <c r="A20" t="s">
        <v>78</v>
      </c>
      <c r="B20" t="s">
        <v>14</v>
      </c>
      <c r="C20">
        <v>79</v>
      </c>
      <c r="D20" t="s">
        <v>6</v>
      </c>
      <c r="E20" s="32">
        <v>44947</v>
      </c>
      <c r="F20">
        <v>140</v>
      </c>
      <c r="G20">
        <v>4.5</v>
      </c>
      <c r="H20">
        <v>2023</v>
      </c>
      <c r="I20" t="s">
        <v>1064</v>
      </c>
      <c r="J20" t="s">
        <v>1087</v>
      </c>
      <c r="K20">
        <v>5</v>
      </c>
      <c r="L20" t="s">
        <v>1049</v>
      </c>
      <c r="M20">
        <v>1</v>
      </c>
    </row>
    <row r="21" spans="1:13" x14ac:dyDescent="0.3">
      <c r="A21" t="s">
        <v>79</v>
      </c>
      <c r="B21" t="s">
        <v>5</v>
      </c>
      <c r="C21">
        <v>157</v>
      </c>
      <c r="D21" t="s">
        <v>11</v>
      </c>
      <c r="E21" s="32">
        <v>44947</v>
      </c>
      <c r="F21">
        <v>69</v>
      </c>
      <c r="G21">
        <v>4.5</v>
      </c>
      <c r="H21">
        <v>2023</v>
      </c>
      <c r="I21" t="s">
        <v>1064</v>
      </c>
      <c r="J21" t="s">
        <v>1089</v>
      </c>
      <c r="K21">
        <v>5</v>
      </c>
      <c r="L21" t="s">
        <v>1049</v>
      </c>
      <c r="M21">
        <v>1</v>
      </c>
    </row>
    <row r="22" spans="1:13" x14ac:dyDescent="0.3">
      <c r="A22" t="s">
        <v>80</v>
      </c>
      <c r="B22" t="s">
        <v>14</v>
      </c>
      <c r="C22">
        <v>59</v>
      </c>
      <c r="D22" t="s">
        <v>10</v>
      </c>
      <c r="E22" s="32">
        <v>44948</v>
      </c>
      <c r="F22">
        <v>136</v>
      </c>
      <c r="G22">
        <v>4.5999999999999996</v>
      </c>
      <c r="H22">
        <v>2023</v>
      </c>
      <c r="I22" t="s">
        <v>1065</v>
      </c>
      <c r="J22" t="s">
        <v>1088</v>
      </c>
      <c r="K22">
        <v>5</v>
      </c>
      <c r="L22" t="s">
        <v>1049</v>
      </c>
      <c r="M22">
        <v>1</v>
      </c>
    </row>
    <row r="23" spans="1:13" x14ac:dyDescent="0.3">
      <c r="A23" t="s">
        <v>82</v>
      </c>
      <c r="B23" t="s">
        <v>5</v>
      </c>
      <c r="C23">
        <v>58</v>
      </c>
      <c r="D23" t="s">
        <v>9</v>
      </c>
      <c r="E23" s="32">
        <v>44949</v>
      </c>
      <c r="F23">
        <v>135</v>
      </c>
      <c r="G23">
        <v>3.3</v>
      </c>
      <c r="H23">
        <v>2023</v>
      </c>
      <c r="I23" t="s">
        <v>1063</v>
      </c>
      <c r="J23" t="s">
        <v>1088</v>
      </c>
      <c r="K23">
        <v>3</v>
      </c>
      <c r="L23" t="s">
        <v>1049</v>
      </c>
      <c r="M23">
        <v>1</v>
      </c>
    </row>
    <row r="24" spans="1:13" x14ac:dyDescent="0.3">
      <c r="A24" t="s">
        <v>83</v>
      </c>
      <c r="B24" t="s">
        <v>19</v>
      </c>
      <c r="C24">
        <v>118</v>
      </c>
      <c r="D24" t="s">
        <v>9</v>
      </c>
      <c r="E24" s="32">
        <v>44949</v>
      </c>
      <c r="F24">
        <v>126</v>
      </c>
      <c r="G24">
        <v>2.2999999999999998</v>
      </c>
      <c r="H24">
        <v>2023</v>
      </c>
      <c r="I24" t="s">
        <v>1063</v>
      </c>
      <c r="J24" t="s">
        <v>1087</v>
      </c>
      <c r="K24">
        <v>2</v>
      </c>
      <c r="L24" t="s">
        <v>1049</v>
      </c>
      <c r="M24">
        <v>1</v>
      </c>
    </row>
    <row r="25" spans="1:13" x14ac:dyDescent="0.3">
      <c r="A25" t="s">
        <v>85</v>
      </c>
      <c r="B25" t="s">
        <v>5</v>
      </c>
      <c r="C25">
        <v>95</v>
      </c>
      <c r="D25" t="s">
        <v>9</v>
      </c>
      <c r="E25" s="32">
        <v>44950</v>
      </c>
      <c r="F25">
        <v>48</v>
      </c>
      <c r="G25">
        <v>4.5999999999999996</v>
      </c>
      <c r="H25">
        <v>2023</v>
      </c>
      <c r="I25" t="s">
        <v>1067</v>
      </c>
      <c r="J25" t="s">
        <v>1087</v>
      </c>
      <c r="K25">
        <v>5</v>
      </c>
      <c r="L25" t="s">
        <v>1049</v>
      </c>
      <c r="M25">
        <v>1</v>
      </c>
    </row>
    <row r="26" spans="1:13" x14ac:dyDescent="0.3">
      <c r="A26" t="s">
        <v>86</v>
      </c>
      <c r="B26" t="s">
        <v>14</v>
      </c>
      <c r="C26">
        <v>74</v>
      </c>
      <c r="D26" t="s">
        <v>11</v>
      </c>
      <c r="E26" s="32">
        <v>44950</v>
      </c>
      <c r="F26">
        <v>66</v>
      </c>
      <c r="G26">
        <v>4</v>
      </c>
      <c r="H26">
        <v>2023</v>
      </c>
      <c r="I26" t="s">
        <v>1067</v>
      </c>
      <c r="J26" t="s">
        <v>1087</v>
      </c>
      <c r="K26">
        <v>4</v>
      </c>
      <c r="L26" t="s">
        <v>1049</v>
      </c>
      <c r="M26">
        <v>1</v>
      </c>
    </row>
    <row r="27" spans="1:13" x14ac:dyDescent="0.3">
      <c r="A27" t="s">
        <v>87</v>
      </c>
      <c r="B27" t="s">
        <v>18</v>
      </c>
      <c r="C27">
        <v>130</v>
      </c>
      <c r="D27" t="s">
        <v>13</v>
      </c>
      <c r="E27" s="32">
        <v>44950</v>
      </c>
      <c r="F27">
        <v>126</v>
      </c>
      <c r="G27">
        <v>2.5</v>
      </c>
      <c r="H27">
        <v>2023</v>
      </c>
      <c r="I27" t="s">
        <v>1067</v>
      </c>
      <c r="J27" t="s">
        <v>1089</v>
      </c>
      <c r="K27">
        <v>3</v>
      </c>
      <c r="L27" t="s">
        <v>1049</v>
      </c>
      <c r="M27">
        <v>1</v>
      </c>
    </row>
    <row r="28" spans="1:13" x14ac:dyDescent="0.3">
      <c r="A28" t="s">
        <v>88</v>
      </c>
      <c r="B28" t="s">
        <v>19</v>
      </c>
      <c r="C28">
        <v>110</v>
      </c>
      <c r="D28" t="s">
        <v>6</v>
      </c>
      <c r="E28" s="32">
        <v>44950</v>
      </c>
      <c r="F28">
        <v>96</v>
      </c>
      <c r="G28">
        <v>5</v>
      </c>
      <c r="H28">
        <v>2023</v>
      </c>
      <c r="I28" t="s">
        <v>1067</v>
      </c>
      <c r="J28" t="s">
        <v>1087</v>
      </c>
      <c r="K28">
        <v>5</v>
      </c>
      <c r="L28" t="s">
        <v>1049</v>
      </c>
      <c r="M28">
        <v>1</v>
      </c>
    </row>
    <row r="29" spans="1:13" x14ac:dyDescent="0.3">
      <c r="A29" t="s">
        <v>89</v>
      </c>
      <c r="B29" t="s">
        <v>14</v>
      </c>
      <c r="C29">
        <v>71</v>
      </c>
      <c r="D29" t="s">
        <v>10</v>
      </c>
      <c r="E29" s="32">
        <v>44951</v>
      </c>
      <c r="F29">
        <v>90</v>
      </c>
      <c r="G29">
        <v>3.8</v>
      </c>
      <c r="H29">
        <v>2023</v>
      </c>
      <c r="I29" t="s">
        <v>1068</v>
      </c>
      <c r="J29" t="s">
        <v>1087</v>
      </c>
      <c r="K29">
        <v>4</v>
      </c>
      <c r="L29" t="s">
        <v>1049</v>
      </c>
      <c r="M29">
        <v>1</v>
      </c>
    </row>
    <row r="30" spans="1:13" x14ac:dyDescent="0.3">
      <c r="A30" t="s">
        <v>92</v>
      </c>
      <c r="B30" t="s">
        <v>19</v>
      </c>
      <c r="C30">
        <v>50</v>
      </c>
      <c r="D30" t="s">
        <v>10</v>
      </c>
      <c r="E30" s="32">
        <v>44952</v>
      </c>
      <c r="F30">
        <v>60</v>
      </c>
      <c r="G30">
        <v>2</v>
      </c>
      <c r="H30">
        <v>2023</v>
      </c>
      <c r="I30" t="s">
        <v>1066</v>
      </c>
      <c r="J30" t="s">
        <v>1088</v>
      </c>
      <c r="K30">
        <v>2</v>
      </c>
      <c r="L30" t="s">
        <v>1049</v>
      </c>
      <c r="M30">
        <v>1</v>
      </c>
    </row>
    <row r="31" spans="1:13" x14ac:dyDescent="0.3">
      <c r="A31" t="s">
        <v>93</v>
      </c>
      <c r="B31" t="s">
        <v>18</v>
      </c>
      <c r="C31">
        <v>124</v>
      </c>
      <c r="D31" t="s">
        <v>13</v>
      </c>
      <c r="E31" s="32">
        <v>44953</v>
      </c>
      <c r="F31">
        <v>215</v>
      </c>
      <c r="G31">
        <v>4.0999999999999996</v>
      </c>
      <c r="H31">
        <v>2023</v>
      </c>
      <c r="I31" t="s">
        <v>1062</v>
      </c>
      <c r="J31" t="s">
        <v>1089</v>
      </c>
      <c r="K31">
        <v>4</v>
      </c>
      <c r="L31" t="s">
        <v>1049</v>
      </c>
      <c r="M31">
        <v>1</v>
      </c>
    </row>
    <row r="32" spans="1:13" x14ac:dyDescent="0.3">
      <c r="A32" t="s">
        <v>98</v>
      </c>
      <c r="B32" t="s">
        <v>14</v>
      </c>
      <c r="C32">
        <v>67</v>
      </c>
      <c r="D32" t="s">
        <v>11</v>
      </c>
      <c r="E32" s="32">
        <v>44954</v>
      </c>
      <c r="F32">
        <v>168</v>
      </c>
      <c r="G32">
        <v>2.6</v>
      </c>
      <c r="H32">
        <v>2023</v>
      </c>
      <c r="I32" t="s">
        <v>1064</v>
      </c>
      <c r="J32" t="s">
        <v>1087</v>
      </c>
      <c r="K32">
        <v>3</v>
      </c>
      <c r="L32" t="s">
        <v>1049</v>
      </c>
      <c r="M32">
        <v>1</v>
      </c>
    </row>
    <row r="33" spans="1:13" x14ac:dyDescent="0.3">
      <c r="A33" t="s">
        <v>99</v>
      </c>
      <c r="B33" t="s">
        <v>5</v>
      </c>
      <c r="C33">
        <v>114</v>
      </c>
      <c r="D33" t="s">
        <v>6</v>
      </c>
      <c r="E33" s="32">
        <v>44956</v>
      </c>
      <c r="F33">
        <v>42</v>
      </c>
      <c r="G33">
        <v>2.6</v>
      </c>
      <c r="H33">
        <v>2023</v>
      </c>
      <c r="I33" t="s">
        <v>1063</v>
      </c>
      <c r="J33" t="s">
        <v>1087</v>
      </c>
      <c r="K33">
        <v>3</v>
      </c>
      <c r="L33" t="s">
        <v>1049</v>
      </c>
      <c r="M33">
        <v>1</v>
      </c>
    </row>
    <row r="34" spans="1:13" x14ac:dyDescent="0.3">
      <c r="A34" t="s">
        <v>102</v>
      </c>
      <c r="B34" t="s">
        <v>18</v>
      </c>
      <c r="C34">
        <v>145</v>
      </c>
      <c r="D34" t="s">
        <v>9</v>
      </c>
      <c r="E34" s="32">
        <v>44956</v>
      </c>
      <c r="F34">
        <v>78</v>
      </c>
      <c r="G34">
        <v>1.9</v>
      </c>
      <c r="H34">
        <v>2023</v>
      </c>
      <c r="I34" t="s">
        <v>1063</v>
      </c>
      <c r="J34" t="s">
        <v>1089</v>
      </c>
      <c r="K34">
        <v>2</v>
      </c>
      <c r="L34" t="s">
        <v>1049</v>
      </c>
      <c r="M34">
        <v>1</v>
      </c>
    </row>
    <row r="35" spans="1:13" x14ac:dyDescent="0.3">
      <c r="A35" t="s">
        <v>106</v>
      </c>
      <c r="B35" t="s">
        <v>18</v>
      </c>
      <c r="C35">
        <v>45</v>
      </c>
      <c r="D35" t="s">
        <v>13</v>
      </c>
      <c r="E35" s="32">
        <v>44958</v>
      </c>
      <c r="F35">
        <v>34</v>
      </c>
      <c r="G35">
        <v>3.7</v>
      </c>
      <c r="H35">
        <v>2023</v>
      </c>
      <c r="I35" t="s">
        <v>1068</v>
      </c>
      <c r="J35" t="s">
        <v>1088</v>
      </c>
      <c r="K35">
        <v>4</v>
      </c>
      <c r="L35" t="s">
        <v>1050</v>
      </c>
      <c r="M35">
        <v>2</v>
      </c>
    </row>
    <row r="36" spans="1:13" x14ac:dyDescent="0.3">
      <c r="A36" t="s">
        <v>108</v>
      </c>
      <c r="B36" t="s">
        <v>5</v>
      </c>
      <c r="C36">
        <v>109</v>
      </c>
      <c r="D36" t="s">
        <v>10</v>
      </c>
      <c r="E36" s="32">
        <v>44958</v>
      </c>
      <c r="F36">
        <v>105</v>
      </c>
      <c r="G36">
        <v>3.3</v>
      </c>
      <c r="H36">
        <v>2023</v>
      </c>
      <c r="I36" t="s">
        <v>1068</v>
      </c>
      <c r="J36" t="s">
        <v>1087</v>
      </c>
      <c r="K36">
        <v>3</v>
      </c>
      <c r="L36" t="s">
        <v>1050</v>
      </c>
      <c r="M36">
        <v>2</v>
      </c>
    </row>
    <row r="37" spans="1:13" x14ac:dyDescent="0.3">
      <c r="A37" t="s">
        <v>112</v>
      </c>
      <c r="B37" t="s">
        <v>19</v>
      </c>
      <c r="C37">
        <v>100</v>
      </c>
      <c r="D37" t="s">
        <v>10</v>
      </c>
      <c r="E37" s="32">
        <v>44959</v>
      </c>
      <c r="F37">
        <v>135</v>
      </c>
      <c r="G37">
        <v>4</v>
      </c>
      <c r="H37">
        <v>2023</v>
      </c>
      <c r="I37" t="s">
        <v>1066</v>
      </c>
      <c r="J37" t="s">
        <v>1087</v>
      </c>
      <c r="K37">
        <v>4</v>
      </c>
      <c r="L37" t="s">
        <v>1050</v>
      </c>
      <c r="M37">
        <v>2</v>
      </c>
    </row>
    <row r="38" spans="1:13" x14ac:dyDescent="0.3">
      <c r="A38" t="s">
        <v>114</v>
      </c>
      <c r="B38" t="s">
        <v>5</v>
      </c>
      <c r="C38">
        <v>87</v>
      </c>
      <c r="D38" t="s">
        <v>11</v>
      </c>
      <c r="E38" s="32">
        <v>44959</v>
      </c>
      <c r="F38">
        <v>155</v>
      </c>
      <c r="G38">
        <v>4.5</v>
      </c>
      <c r="H38">
        <v>2023</v>
      </c>
      <c r="I38" t="s">
        <v>1066</v>
      </c>
      <c r="J38" t="s">
        <v>1087</v>
      </c>
      <c r="K38">
        <v>5</v>
      </c>
      <c r="L38" t="s">
        <v>1050</v>
      </c>
      <c r="M38">
        <v>2</v>
      </c>
    </row>
    <row r="39" spans="1:13" x14ac:dyDescent="0.3">
      <c r="A39" t="s">
        <v>116</v>
      </c>
      <c r="B39" t="s">
        <v>19</v>
      </c>
      <c r="C39">
        <v>84</v>
      </c>
      <c r="D39" t="s">
        <v>10</v>
      </c>
      <c r="E39" s="32">
        <v>44961</v>
      </c>
      <c r="F39">
        <v>195</v>
      </c>
      <c r="G39">
        <v>4.0999999999999996</v>
      </c>
      <c r="H39">
        <v>2023</v>
      </c>
      <c r="I39" t="s">
        <v>1064</v>
      </c>
      <c r="J39" t="s">
        <v>1087</v>
      </c>
      <c r="K39">
        <v>4</v>
      </c>
      <c r="L39" t="s">
        <v>1050</v>
      </c>
      <c r="M39">
        <v>2</v>
      </c>
    </row>
    <row r="40" spans="1:13" x14ac:dyDescent="0.3">
      <c r="A40" t="s">
        <v>118</v>
      </c>
      <c r="B40" t="s">
        <v>15</v>
      </c>
      <c r="C40">
        <v>135</v>
      </c>
      <c r="D40" t="s">
        <v>13</v>
      </c>
      <c r="E40" s="32">
        <v>44964</v>
      </c>
      <c r="F40">
        <v>35</v>
      </c>
      <c r="G40">
        <v>4.8</v>
      </c>
      <c r="H40">
        <v>2023</v>
      </c>
      <c r="I40" t="s">
        <v>1067</v>
      </c>
      <c r="J40" t="s">
        <v>1089</v>
      </c>
      <c r="K40">
        <v>5</v>
      </c>
      <c r="L40" t="s">
        <v>1050</v>
      </c>
      <c r="M40">
        <v>2</v>
      </c>
    </row>
    <row r="41" spans="1:13" x14ac:dyDescent="0.3">
      <c r="A41" t="s">
        <v>126</v>
      </c>
      <c r="B41" t="s">
        <v>14</v>
      </c>
      <c r="C41">
        <v>95</v>
      </c>
      <c r="D41" t="s">
        <v>10</v>
      </c>
      <c r="E41" s="32">
        <v>44967</v>
      </c>
      <c r="F41">
        <v>66</v>
      </c>
      <c r="G41">
        <v>4.5999999999999996</v>
      </c>
      <c r="H41">
        <v>2023</v>
      </c>
      <c r="I41" t="s">
        <v>1062</v>
      </c>
      <c r="J41" t="s">
        <v>1087</v>
      </c>
      <c r="K41">
        <v>5</v>
      </c>
      <c r="L41" t="s">
        <v>1050</v>
      </c>
      <c r="M41">
        <v>2</v>
      </c>
    </row>
    <row r="42" spans="1:13" x14ac:dyDescent="0.3">
      <c r="A42" t="s">
        <v>133</v>
      </c>
      <c r="B42" t="s">
        <v>19</v>
      </c>
      <c r="C42">
        <v>137</v>
      </c>
      <c r="D42" t="s">
        <v>11</v>
      </c>
      <c r="E42" s="32">
        <v>44970</v>
      </c>
      <c r="F42">
        <v>34</v>
      </c>
      <c r="G42">
        <v>2.9</v>
      </c>
      <c r="H42">
        <v>2023</v>
      </c>
      <c r="I42" t="s">
        <v>1063</v>
      </c>
      <c r="J42" t="s">
        <v>1089</v>
      </c>
      <c r="K42">
        <v>3</v>
      </c>
      <c r="L42" t="s">
        <v>1050</v>
      </c>
      <c r="M42">
        <v>2</v>
      </c>
    </row>
    <row r="43" spans="1:13" x14ac:dyDescent="0.3">
      <c r="A43" t="s">
        <v>139</v>
      </c>
      <c r="B43" t="s">
        <v>18</v>
      </c>
      <c r="C43">
        <v>38</v>
      </c>
      <c r="D43" t="s">
        <v>13</v>
      </c>
      <c r="E43" s="32">
        <v>44972</v>
      </c>
      <c r="F43">
        <v>100</v>
      </c>
      <c r="G43">
        <v>4.8</v>
      </c>
      <c r="H43">
        <v>2023</v>
      </c>
      <c r="I43" t="s">
        <v>1068</v>
      </c>
      <c r="J43" t="s">
        <v>1088</v>
      </c>
      <c r="K43">
        <v>5</v>
      </c>
      <c r="L43" t="s">
        <v>1050</v>
      </c>
      <c r="M43">
        <v>2</v>
      </c>
    </row>
    <row r="44" spans="1:13" x14ac:dyDescent="0.3">
      <c r="A44" t="s">
        <v>140</v>
      </c>
      <c r="B44" t="s">
        <v>14</v>
      </c>
      <c r="C44">
        <v>55</v>
      </c>
      <c r="D44" t="s">
        <v>11</v>
      </c>
      <c r="E44" s="32">
        <v>44972</v>
      </c>
      <c r="F44">
        <v>23</v>
      </c>
      <c r="G44">
        <v>3.6</v>
      </c>
      <c r="H44">
        <v>2023</v>
      </c>
      <c r="I44" t="s">
        <v>1068</v>
      </c>
      <c r="J44" t="s">
        <v>1088</v>
      </c>
      <c r="K44">
        <v>4</v>
      </c>
      <c r="L44" t="s">
        <v>1050</v>
      </c>
      <c r="M44">
        <v>2</v>
      </c>
    </row>
    <row r="45" spans="1:13" x14ac:dyDescent="0.3">
      <c r="A45" t="s">
        <v>147</v>
      </c>
      <c r="B45" t="s">
        <v>15</v>
      </c>
      <c r="C45">
        <v>155</v>
      </c>
      <c r="D45" t="s">
        <v>10</v>
      </c>
      <c r="E45" s="32">
        <v>44975</v>
      </c>
      <c r="F45">
        <v>180</v>
      </c>
      <c r="G45">
        <v>2.2000000000000002</v>
      </c>
      <c r="H45">
        <v>2023</v>
      </c>
      <c r="I45" t="s">
        <v>1064</v>
      </c>
      <c r="J45" t="s">
        <v>1089</v>
      </c>
      <c r="K45">
        <v>2</v>
      </c>
      <c r="L45" t="s">
        <v>1050</v>
      </c>
      <c r="M45">
        <v>2</v>
      </c>
    </row>
    <row r="46" spans="1:13" x14ac:dyDescent="0.3">
      <c r="A46" t="s">
        <v>149</v>
      </c>
      <c r="B46" t="s">
        <v>18</v>
      </c>
      <c r="C46">
        <v>95</v>
      </c>
      <c r="D46" t="s">
        <v>9</v>
      </c>
      <c r="E46" s="32">
        <v>44975</v>
      </c>
      <c r="F46">
        <v>52</v>
      </c>
      <c r="G46">
        <v>4.8</v>
      </c>
      <c r="H46">
        <v>2023</v>
      </c>
      <c r="I46" t="s">
        <v>1064</v>
      </c>
      <c r="J46" t="s">
        <v>1087</v>
      </c>
      <c r="K46">
        <v>5</v>
      </c>
      <c r="L46" t="s">
        <v>1050</v>
      </c>
      <c r="M46">
        <v>2</v>
      </c>
    </row>
    <row r="47" spans="1:13" x14ac:dyDescent="0.3">
      <c r="A47" t="s">
        <v>150</v>
      </c>
      <c r="B47" t="s">
        <v>19</v>
      </c>
      <c r="C47">
        <v>65</v>
      </c>
      <c r="D47" t="s">
        <v>10</v>
      </c>
      <c r="E47" s="32">
        <v>44976</v>
      </c>
      <c r="F47">
        <v>80</v>
      </c>
      <c r="G47">
        <v>4</v>
      </c>
      <c r="H47">
        <v>2023</v>
      </c>
      <c r="I47" t="s">
        <v>1065</v>
      </c>
      <c r="J47" t="s">
        <v>1087</v>
      </c>
      <c r="K47">
        <v>4</v>
      </c>
      <c r="L47" t="s">
        <v>1050</v>
      </c>
      <c r="M47">
        <v>2</v>
      </c>
    </row>
    <row r="48" spans="1:13" x14ac:dyDescent="0.3">
      <c r="A48" t="s">
        <v>153</v>
      </c>
      <c r="B48" t="s">
        <v>19</v>
      </c>
      <c r="C48">
        <v>114</v>
      </c>
      <c r="D48" t="s">
        <v>10</v>
      </c>
      <c r="E48" s="32">
        <v>44978</v>
      </c>
      <c r="F48">
        <v>120</v>
      </c>
      <c r="G48">
        <v>1.8</v>
      </c>
      <c r="H48">
        <v>2023</v>
      </c>
      <c r="I48" t="s">
        <v>1067</v>
      </c>
      <c r="J48" t="s">
        <v>1087</v>
      </c>
      <c r="K48">
        <v>2</v>
      </c>
      <c r="L48" t="s">
        <v>1050</v>
      </c>
      <c r="M48">
        <v>2</v>
      </c>
    </row>
    <row r="49" spans="1:13" x14ac:dyDescent="0.3">
      <c r="A49" t="s">
        <v>154</v>
      </c>
      <c r="B49" t="s">
        <v>15</v>
      </c>
      <c r="C49">
        <v>130</v>
      </c>
      <c r="D49" t="s">
        <v>13</v>
      </c>
      <c r="E49" s="32">
        <v>44978</v>
      </c>
      <c r="F49">
        <v>150</v>
      </c>
      <c r="G49">
        <v>1</v>
      </c>
      <c r="H49">
        <v>2023</v>
      </c>
      <c r="I49" t="s">
        <v>1067</v>
      </c>
      <c r="J49" t="s">
        <v>1089</v>
      </c>
      <c r="K49">
        <v>1</v>
      </c>
      <c r="L49" t="s">
        <v>1050</v>
      </c>
      <c r="M49">
        <v>2</v>
      </c>
    </row>
    <row r="50" spans="1:13" x14ac:dyDescent="0.3">
      <c r="A50" t="s">
        <v>157</v>
      </c>
      <c r="B50" t="s">
        <v>18</v>
      </c>
      <c r="C50">
        <v>154</v>
      </c>
      <c r="D50" t="s">
        <v>11</v>
      </c>
      <c r="E50" s="32">
        <v>44979</v>
      </c>
      <c r="F50">
        <v>22</v>
      </c>
      <c r="G50">
        <v>3.4</v>
      </c>
      <c r="H50">
        <v>2023</v>
      </c>
      <c r="I50" t="s">
        <v>1068</v>
      </c>
      <c r="J50" t="s">
        <v>1089</v>
      </c>
      <c r="K50">
        <v>3</v>
      </c>
      <c r="L50" t="s">
        <v>1050</v>
      </c>
      <c r="M50">
        <v>2</v>
      </c>
    </row>
    <row r="51" spans="1:13" x14ac:dyDescent="0.3">
      <c r="A51" t="s">
        <v>158</v>
      </c>
      <c r="B51" t="s">
        <v>19</v>
      </c>
      <c r="C51">
        <v>115</v>
      </c>
      <c r="D51" t="s">
        <v>13</v>
      </c>
      <c r="E51" s="32">
        <v>44980</v>
      </c>
      <c r="F51">
        <v>150</v>
      </c>
      <c r="G51">
        <v>4.0999999999999996</v>
      </c>
      <c r="H51">
        <v>2023</v>
      </c>
      <c r="I51" t="s">
        <v>1066</v>
      </c>
      <c r="J51" t="s">
        <v>1087</v>
      </c>
      <c r="K51">
        <v>4</v>
      </c>
      <c r="L51" t="s">
        <v>1050</v>
      </c>
      <c r="M51">
        <v>2</v>
      </c>
    </row>
    <row r="52" spans="1:13" x14ac:dyDescent="0.3">
      <c r="A52" t="s">
        <v>159</v>
      </c>
      <c r="B52" t="s">
        <v>5</v>
      </c>
      <c r="C52">
        <v>138</v>
      </c>
      <c r="D52" t="s">
        <v>9</v>
      </c>
      <c r="E52" s="32">
        <v>44981</v>
      </c>
      <c r="F52">
        <v>35</v>
      </c>
      <c r="G52">
        <v>4.8</v>
      </c>
      <c r="H52">
        <v>2023</v>
      </c>
      <c r="I52" t="s">
        <v>1062</v>
      </c>
      <c r="J52" t="s">
        <v>1089</v>
      </c>
      <c r="K52">
        <v>5</v>
      </c>
      <c r="L52" t="s">
        <v>1050</v>
      </c>
      <c r="M52">
        <v>2</v>
      </c>
    </row>
    <row r="53" spans="1:13" x14ac:dyDescent="0.3">
      <c r="A53" t="s">
        <v>161</v>
      </c>
      <c r="B53" t="s">
        <v>19</v>
      </c>
      <c r="C53">
        <v>61</v>
      </c>
      <c r="D53" t="s">
        <v>6</v>
      </c>
      <c r="E53" s="32">
        <v>44982</v>
      </c>
      <c r="F53">
        <v>150</v>
      </c>
      <c r="G53">
        <v>4.5999999999999996</v>
      </c>
      <c r="H53">
        <v>2023</v>
      </c>
      <c r="I53" t="s">
        <v>1064</v>
      </c>
      <c r="J53" t="s">
        <v>1087</v>
      </c>
      <c r="K53">
        <v>5</v>
      </c>
      <c r="L53" t="s">
        <v>1050</v>
      </c>
      <c r="M53">
        <v>2</v>
      </c>
    </row>
    <row r="54" spans="1:13" x14ac:dyDescent="0.3">
      <c r="A54" t="s">
        <v>175</v>
      </c>
      <c r="B54" t="s">
        <v>19</v>
      </c>
      <c r="C54">
        <v>152</v>
      </c>
      <c r="D54" t="s">
        <v>11</v>
      </c>
      <c r="E54" s="32">
        <v>44986</v>
      </c>
      <c r="F54">
        <v>215</v>
      </c>
      <c r="G54">
        <v>4.4000000000000004</v>
      </c>
      <c r="H54">
        <v>2023</v>
      </c>
      <c r="I54" t="s">
        <v>1068</v>
      </c>
      <c r="J54" t="s">
        <v>1089</v>
      </c>
      <c r="K54">
        <v>4</v>
      </c>
      <c r="L54" t="s">
        <v>1051</v>
      </c>
      <c r="M54">
        <v>3</v>
      </c>
    </row>
    <row r="55" spans="1:13" x14ac:dyDescent="0.3">
      <c r="A55" t="s">
        <v>178</v>
      </c>
      <c r="B55" t="s">
        <v>18</v>
      </c>
      <c r="C55">
        <v>114</v>
      </c>
      <c r="D55" t="s">
        <v>13</v>
      </c>
      <c r="E55" s="32">
        <v>44987</v>
      </c>
      <c r="F55">
        <v>23</v>
      </c>
      <c r="G55">
        <v>4.8</v>
      </c>
      <c r="H55">
        <v>2023</v>
      </c>
      <c r="I55" t="s">
        <v>1066</v>
      </c>
      <c r="J55" t="s">
        <v>1087</v>
      </c>
      <c r="K55">
        <v>5</v>
      </c>
      <c r="L55" t="s">
        <v>1051</v>
      </c>
      <c r="M55">
        <v>3</v>
      </c>
    </row>
    <row r="56" spans="1:13" x14ac:dyDescent="0.3">
      <c r="A56" t="s">
        <v>197</v>
      </c>
      <c r="B56" t="s">
        <v>18</v>
      </c>
      <c r="C56">
        <v>40</v>
      </c>
      <c r="D56" t="s">
        <v>6</v>
      </c>
      <c r="E56" s="32">
        <v>44990</v>
      </c>
      <c r="F56">
        <v>92</v>
      </c>
      <c r="G56">
        <v>4.7</v>
      </c>
      <c r="H56">
        <v>2023</v>
      </c>
      <c r="I56" t="s">
        <v>1065</v>
      </c>
      <c r="J56" t="s">
        <v>1088</v>
      </c>
      <c r="K56">
        <v>5</v>
      </c>
      <c r="L56" t="s">
        <v>1051</v>
      </c>
      <c r="M56">
        <v>3</v>
      </c>
    </row>
    <row r="57" spans="1:13" x14ac:dyDescent="0.3">
      <c r="A57" t="s">
        <v>199</v>
      </c>
      <c r="B57" t="s">
        <v>15</v>
      </c>
      <c r="C57">
        <v>131</v>
      </c>
      <c r="D57" t="s">
        <v>10</v>
      </c>
      <c r="E57" s="32">
        <v>44990</v>
      </c>
      <c r="F57">
        <v>140</v>
      </c>
      <c r="G57">
        <v>4.0999999999999996</v>
      </c>
      <c r="H57">
        <v>2023</v>
      </c>
      <c r="I57" t="s">
        <v>1065</v>
      </c>
      <c r="J57" t="s">
        <v>1089</v>
      </c>
      <c r="K57">
        <v>4</v>
      </c>
      <c r="L57" t="s">
        <v>1051</v>
      </c>
      <c r="M57">
        <v>3</v>
      </c>
    </row>
    <row r="58" spans="1:13" x14ac:dyDescent="0.3">
      <c r="A58" t="s">
        <v>201</v>
      </c>
      <c r="B58" t="s">
        <v>5</v>
      </c>
      <c r="C58">
        <v>71</v>
      </c>
      <c r="D58" t="s">
        <v>6</v>
      </c>
      <c r="E58" s="32">
        <v>44990</v>
      </c>
      <c r="F58">
        <v>102</v>
      </c>
      <c r="G58">
        <v>4.7</v>
      </c>
      <c r="H58">
        <v>2023</v>
      </c>
      <c r="I58" t="s">
        <v>1065</v>
      </c>
      <c r="J58" t="s">
        <v>1087</v>
      </c>
      <c r="K58">
        <v>5</v>
      </c>
      <c r="L58" t="s">
        <v>1051</v>
      </c>
      <c r="M58">
        <v>3</v>
      </c>
    </row>
    <row r="59" spans="1:13" x14ac:dyDescent="0.3">
      <c r="A59" t="s">
        <v>202</v>
      </c>
      <c r="B59" t="s">
        <v>15</v>
      </c>
      <c r="C59">
        <v>113</v>
      </c>
      <c r="D59" t="s">
        <v>10</v>
      </c>
      <c r="E59" s="32">
        <v>44990</v>
      </c>
      <c r="F59">
        <v>42</v>
      </c>
      <c r="G59">
        <v>4.2</v>
      </c>
      <c r="H59">
        <v>2023</v>
      </c>
      <c r="I59" t="s">
        <v>1065</v>
      </c>
      <c r="J59" t="s">
        <v>1087</v>
      </c>
      <c r="K59">
        <v>4</v>
      </c>
      <c r="L59" t="s">
        <v>1051</v>
      </c>
      <c r="M59">
        <v>3</v>
      </c>
    </row>
    <row r="60" spans="1:13" x14ac:dyDescent="0.3">
      <c r="A60" t="s">
        <v>204</v>
      </c>
      <c r="B60" t="s">
        <v>15</v>
      </c>
      <c r="C60">
        <v>153</v>
      </c>
      <c r="D60" t="s">
        <v>11</v>
      </c>
      <c r="E60" s="32">
        <v>44991</v>
      </c>
      <c r="F60">
        <v>34</v>
      </c>
      <c r="G60">
        <v>3</v>
      </c>
      <c r="H60">
        <v>2023</v>
      </c>
      <c r="I60" t="s">
        <v>1063</v>
      </c>
      <c r="J60" t="s">
        <v>1089</v>
      </c>
      <c r="K60">
        <v>3</v>
      </c>
      <c r="L60" t="s">
        <v>1051</v>
      </c>
      <c r="M60">
        <v>3</v>
      </c>
    </row>
    <row r="61" spans="1:13" x14ac:dyDescent="0.3">
      <c r="A61" t="s">
        <v>208</v>
      </c>
      <c r="B61" t="s">
        <v>15</v>
      </c>
      <c r="C61">
        <v>69</v>
      </c>
      <c r="D61" t="s">
        <v>9</v>
      </c>
      <c r="E61" s="32">
        <v>44992</v>
      </c>
      <c r="F61">
        <v>132</v>
      </c>
      <c r="G61">
        <v>4.5</v>
      </c>
      <c r="H61">
        <v>2023</v>
      </c>
      <c r="I61" t="s">
        <v>1067</v>
      </c>
      <c r="J61" t="s">
        <v>1087</v>
      </c>
      <c r="K61">
        <v>5</v>
      </c>
      <c r="L61" t="s">
        <v>1051</v>
      </c>
      <c r="M61">
        <v>3</v>
      </c>
    </row>
    <row r="62" spans="1:13" x14ac:dyDescent="0.3">
      <c r="A62" t="s">
        <v>211</v>
      </c>
      <c r="B62" t="s">
        <v>14</v>
      </c>
      <c r="C62">
        <v>92</v>
      </c>
      <c r="D62" t="s">
        <v>10</v>
      </c>
      <c r="E62" s="32">
        <v>44992</v>
      </c>
      <c r="F62">
        <v>58</v>
      </c>
      <c r="G62">
        <v>3.6</v>
      </c>
      <c r="H62">
        <v>2023</v>
      </c>
      <c r="I62" t="s">
        <v>1067</v>
      </c>
      <c r="J62" t="s">
        <v>1087</v>
      </c>
      <c r="K62">
        <v>4</v>
      </c>
      <c r="L62" t="s">
        <v>1051</v>
      </c>
      <c r="M62">
        <v>3</v>
      </c>
    </row>
    <row r="63" spans="1:13" x14ac:dyDescent="0.3">
      <c r="A63" t="s">
        <v>212</v>
      </c>
      <c r="B63" t="s">
        <v>14</v>
      </c>
      <c r="C63">
        <v>41</v>
      </c>
      <c r="D63" t="s">
        <v>13</v>
      </c>
      <c r="E63" s="32">
        <v>44992</v>
      </c>
      <c r="F63">
        <v>68</v>
      </c>
      <c r="G63">
        <v>4</v>
      </c>
      <c r="H63">
        <v>2023</v>
      </c>
      <c r="I63" t="s">
        <v>1067</v>
      </c>
      <c r="J63" t="s">
        <v>1088</v>
      </c>
      <c r="K63">
        <v>4</v>
      </c>
      <c r="L63" t="s">
        <v>1051</v>
      </c>
      <c r="M63">
        <v>3</v>
      </c>
    </row>
    <row r="64" spans="1:13" x14ac:dyDescent="0.3">
      <c r="A64" t="s">
        <v>215</v>
      </c>
      <c r="B64" t="s">
        <v>5</v>
      </c>
      <c r="C64">
        <v>103</v>
      </c>
      <c r="D64" t="s">
        <v>9</v>
      </c>
      <c r="E64" s="32">
        <v>44993</v>
      </c>
      <c r="F64">
        <v>117</v>
      </c>
      <c r="G64">
        <v>3</v>
      </c>
      <c r="H64">
        <v>2023</v>
      </c>
      <c r="I64" t="s">
        <v>1068</v>
      </c>
      <c r="J64" t="s">
        <v>1087</v>
      </c>
      <c r="K64">
        <v>3</v>
      </c>
      <c r="L64" t="s">
        <v>1051</v>
      </c>
      <c r="M64">
        <v>3</v>
      </c>
    </row>
    <row r="65" spans="1:13" x14ac:dyDescent="0.3">
      <c r="A65" t="s">
        <v>217</v>
      </c>
      <c r="B65" t="s">
        <v>5</v>
      </c>
      <c r="C65">
        <v>75</v>
      </c>
      <c r="D65" t="s">
        <v>6</v>
      </c>
      <c r="E65" s="32">
        <v>44994</v>
      </c>
      <c r="F65">
        <v>195</v>
      </c>
      <c r="G65">
        <v>3</v>
      </c>
      <c r="H65">
        <v>2023</v>
      </c>
      <c r="I65" t="s">
        <v>1066</v>
      </c>
      <c r="J65" t="s">
        <v>1087</v>
      </c>
      <c r="K65">
        <v>3</v>
      </c>
      <c r="L65" t="s">
        <v>1051</v>
      </c>
      <c r="M65">
        <v>3</v>
      </c>
    </row>
    <row r="66" spans="1:13" x14ac:dyDescent="0.3">
      <c r="A66" t="s">
        <v>218</v>
      </c>
      <c r="B66" t="s">
        <v>14</v>
      </c>
      <c r="C66">
        <v>80</v>
      </c>
      <c r="D66" t="s">
        <v>11</v>
      </c>
      <c r="E66" s="32">
        <v>44994</v>
      </c>
      <c r="F66">
        <v>168</v>
      </c>
      <c r="G66">
        <v>3.7</v>
      </c>
      <c r="H66">
        <v>2023</v>
      </c>
      <c r="I66" t="s">
        <v>1066</v>
      </c>
      <c r="J66" t="s">
        <v>1087</v>
      </c>
      <c r="K66">
        <v>4</v>
      </c>
      <c r="L66" t="s">
        <v>1051</v>
      </c>
      <c r="M66">
        <v>3</v>
      </c>
    </row>
    <row r="67" spans="1:13" x14ac:dyDescent="0.3">
      <c r="A67" t="s">
        <v>219</v>
      </c>
      <c r="B67" t="s">
        <v>15</v>
      </c>
      <c r="C67">
        <v>85</v>
      </c>
      <c r="D67" t="s">
        <v>13</v>
      </c>
      <c r="E67" s="32">
        <v>44995</v>
      </c>
      <c r="F67">
        <v>46</v>
      </c>
      <c r="G67">
        <v>4.9000000000000004</v>
      </c>
      <c r="H67">
        <v>2023</v>
      </c>
      <c r="I67" t="s">
        <v>1062</v>
      </c>
      <c r="J67" t="s">
        <v>1087</v>
      </c>
      <c r="K67">
        <v>5</v>
      </c>
      <c r="L67" t="s">
        <v>1051</v>
      </c>
      <c r="M67">
        <v>3</v>
      </c>
    </row>
    <row r="68" spans="1:13" x14ac:dyDescent="0.3">
      <c r="A68" t="s">
        <v>221</v>
      </c>
      <c r="B68" t="s">
        <v>15</v>
      </c>
      <c r="C68">
        <v>63</v>
      </c>
      <c r="D68" t="s">
        <v>13</v>
      </c>
      <c r="E68" s="32">
        <v>44995</v>
      </c>
      <c r="F68">
        <v>48</v>
      </c>
      <c r="G68">
        <v>5</v>
      </c>
      <c r="H68">
        <v>2023</v>
      </c>
      <c r="I68" t="s">
        <v>1062</v>
      </c>
      <c r="J68" t="s">
        <v>1087</v>
      </c>
      <c r="K68">
        <v>5</v>
      </c>
      <c r="L68" t="s">
        <v>1051</v>
      </c>
      <c r="M68">
        <v>3</v>
      </c>
    </row>
    <row r="69" spans="1:13" x14ac:dyDescent="0.3">
      <c r="A69" t="s">
        <v>223</v>
      </c>
      <c r="B69" t="s">
        <v>15</v>
      </c>
      <c r="C69">
        <v>71</v>
      </c>
      <c r="D69" t="s">
        <v>13</v>
      </c>
      <c r="E69" s="32">
        <v>44995</v>
      </c>
      <c r="F69">
        <v>105</v>
      </c>
      <c r="G69">
        <v>4</v>
      </c>
      <c r="H69">
        <v>2023</v>
      </c>
      <c r="I69" t="s">
        <v>1062</v>
      </c>
      <c r="J69" t="s">
        <v>1087</v>
      </c>
      <c r="K69">
        <v>4</v>
      </c>
      <c r="L69" t="s">
        <v>1051</v>
      </c>
      <c r="M69">
        <v>3</v>
      </c>
    </row>
    <row r="70" spans="1:13" x14ac:dyDescent="0.3">
      <c r="A70" t="s">
        <v>230</v>
      </c>
      <c r="B70" t="s">
        <v>14</v>
      </c>
      <c r="C70">
        <v>134</v>
      </c>
      <c r="D70" t="s">
        <v>10</v>
      </c>
      <c r="E70" s="32">
        <v>44996</v>
      </c>
      <c r="F70">
        <v>180</v>
      </c>
      <c r="G70">
        <v>3.1</v>
      </c>
      <c r="H70">
        <v>2023</v>
      </c>
      <c r="I70" t="s">
        <v>1064</v>
      </c>
      <c r="J70" t="s">
        <v>1089</v>
      </c>
      <c r="K70">
        <v>3</v>
      </c>
      <c r="L70" t="s">
        <v>1051</v>
      </c>
      <c r="M70">
        <v>3</v>
      </c>
    </row>
    <row r="71" spans="1:13" x14ac:dyDescent="0.3">
      <c r="A71" t="s">
        <v>232</v>
      </c>
      <c r="B71" t="s">
        <v>5</v>
      </c>
      <c r="C71">
        <v>6</v>
      </c>
      <c r="D71" t="s">
        <v>6</v>
      </c>
      <c r="E71" s="32">
        <v>44997</v>
      </c>
      <c r="F71">
        <v>29</v>
      </c>
      <c r="G71">
        <v>4.7</v>
      </c>
      <c r="H71">
        <v>2023</v>
      </c>
      <c r="I71" t="s">
        <v>1065</v>
      </c>
      <c r="J71" t="s">
        <v>1090</v>
      </c>
      <c r="K71">
        <v>5</v>
      </c>
      <c r="L71" t="s">
        <v>1051</v>
      </c>
      <c r="M71">
        <v>3</v>
      </c>
    </row>
    <row r="72" spans="1:13" x14ac:dyDescent="0.3">
      <c r="A72" t="s">
        <v>234</v>
      </c>
      <c r="B72" t="s">
        <v>5</v>
      </c>
      <c r="C72">
        <v>121</v>
      </c>
      <c r="D72" t="s">
        <v>13</v>
      </c>
      <c r="E72" s="32">
        <v>44998</v>
      </c>
      <c r="F72">
        <v>32</v>
      </c>
      <c r="G72">
        <v>3.7</v>
      </c>
      <c r="H72">
        <v>2023</v>
      </c>
      <c r="I72" t="s">
        <v>1063</v>
      </c>
      <c r="J72" t="s">
        <v>1089</v>
      </c>
      <c r="K72">
        <v>4</v>
      </c>
      <c r="L72" t="s">
        <v>1051</v>
      </c>
      <c r="M72">
        <v>3</v>
      </c>
    </row>
    <row r="73" spans="1:13" x14ac:dyDescent="0.3">
      <c r="A73" t="s">
        <v>236</v>
      </c>
      <c r="B73" t="s">
        <v>14</v>
      </c>
      <c r="C73">
        <v>144</v>
      </c>
      <c r="D73" t="s">
        <v>10</v>
      </c>
      <c r="E73" s="32">
        <v>44998</v>
      </c>
      <c r="F73">
        <v>140</v>
      </c>
      <c r="G73">
        <v>3.5</v>
      </c>
      <c r="H73">
        <v>2023</v>
      </c>
      <c r="I73" t="s">
        <v>1063</v>
      </c>
      <c r="J73" t="s">
        <v>1089</v>
      </c>
      <c r="K73">
        <v>4</v>
      </c>
      <c r="L73" t="s">
        <v>1051</v>
      </c>
      <c r="M73">
        <v>3</v>
      </c>
    </row>
    <row r="74" spans="1:13" x14ac:dyDescent="0.3">
      <c r="A74" t="s">
        <v>241</v>
      </c>
      <c r="B74" t="s">
        <v>14</v>
      </c>
      <c r="C74">
        <v>28</v>
      </c>
      <c r="D74" t="s">
        <v>9</v>
      </c>
      <c r="E74" s="32">
        <v>44999</v>
      </c>
      <c r="F74">
        <v>78</v>
      </c>
      <c r="G74">
        <v>3.8</v>
      </c>
      <c r="H74">
        <v>2023</v>
      </c>
      <c r="I74" t="s">
        <v>1067</v>
      </c>
      <c r="J74" t="s">
        <v>1091</v>
      </c>
      <c r="K74">
        <v>4</v>
      </c>
      <c r="L74" t="s">
        <v>1051</v>
      </c>
      <c r="M74">
        <v>3</v>
      </c>
    </row>
    <row r="75" spans="1:13" x14ac:dyDescent="0.3">
      <c r="A75" t="s">
        <v>242</v>
      </c>
      <c r="B75" t="s">
        <v>14</v>
      </c>
      <c r="C75">
        <v>119</v>
      </c>
      <c r="D75" t="s">
        <v>13</v>
      </c>
      <c r="E75" s="32">
        <v>44999</v>
      </c>
      <c r="F75">
        <v>20</v>
      </c>
      <c r="G75">
        <v>3.9</v>
      </c>
      <c r="H75">
        <v>2023</v>
      </c>
      <c r="I75" t="s">
        <v>1067</v>
      </c>
      <c r="J75" t="s">
        <v>1087</v>
      </c>
      <c r="K75">
        <v>4</v>
      </c>
      <c r="L75" t="s">
        <v>1051</v>
      </c>
      <c r="M75">
        <v>3</v>
      </c>
    </row>
    <row r="76" spans="1:13" x14ac:dyDescent="0.3">
      <c r="A76" t="s">
        <v>243</v>
      </c>
      <c r="B76" t="s">
        <v>5</v>
      </c>
      <c r="C76">
        <v>65</v>
      </c>
      <c r="D76" t="s">
        <v>6</v>
      </c>
      <c r="E76" s="32">
        <v>44999</v>
      </c>
      <c r="F76">
        <v>84</v>
      </c>
      <c r="G76">
        <v>2.5</v>
      </c>
      <c r="H76">
        <v>2023</v>
      </c>
      <c r="I76" t="s">
        <v>1067</v>
      </c>
      <c r="J76" t="s">
        <v>1087</v>
      </c>
      <c r="K76">
        <v>3</v>
      </c>
      <c r="L76" t="s">
        <v>1051</v>
      </c>
      <c r="M76">
        <v>3</v>
      </c>
    </row>
    <row r="77" spans="1:13" x14ac:dyDescent="0.3">
      <c r="A77" t="s">
        <v>248</v>
      </c>
      <c r="B77" t="s">
        <v>14</v>
      </c>
      <c r="C77">
        <v>59</v>
      </c>
      <c r="D77" t="s">
        <v>13</v>
      </c>
      <c r="E77" s="32">
        <v>45000</v>
      </c>
      <c r="F77">
        <v>64</v>
      </c>
      <c r="G77">
        <v>4</v>
      </c>
      <c r="H77">
        <v>2023</v>
      </c>
      <c r="I77" t="s">
        <v>1068</v>
      </c>
      <c r="J77" t="s">
        <v>1088</v>
      </c>
      <c r="K77">
        <v>4</v>
      </c>
      <c r="L77" t="s">
        <v>1051</v>
      </c>
      <c r="M77">
        <v>3</v>
      </c>
    </row>
    <row r="78" spans="1:13" x14ac:dyDescent="0.3">
      <c r="A78" t="s">
        <v>260</v>
      </c>
      <c r="B78" t="s">
        <v>15</v>
      </c>
      <c r="C78">
        <v>100</v>
      </c>
      <c r="D78" t="s">
        <v>9</v>
      </c>
      <c r="E78" s="32">
        <v>45001</v>
      </c>
      <c r="F78">
        <v>124</v>
      </c>
      <c r="G78">
        <v>3.4</v>
      </c>
      <c r="H78">
        <v>2023</v>
      </c>
      <c r="I78" t="s">
        <v>1066</v>
      </c>
      <c r="J78" t="s">
        <v>1087</v>
      </c>
      <c r="K78">
        <v>3</v>
      </c>
      <c r="L78" t="s">
        <v>1051</v>
      </c>
      <c r="M78">
        <v>3</v>
      </c>
    </row>
    <row r="79" spans="1:13" x14ac:dyDescent="0.3">
      <c r="A79" t="s">
        <v>263</v>
      </c>
      <c r="B79" t="s">
        <v>18</v>
      </c>
      <c r="C79">
        <v>64</v>
      </c>
      <c r="D79" t="s">
        <v>10</v>
      </c>
      <c r="E79" s="32">
        <v>45002</v>
      </c>
      <c r="F79">
        <v>22</v>
      </c>
      <c r="G79">
        <v>4.0999999999999996</v>
      </c>
      <c r="H79">
        <v>2023</v>
      </c>
      <c r="I79" t="s">
        <v>1062</v>
      </c>
      <c r="J79" t="s">
        <v>1087</v>
      </c>
      <c r="K79">
        <v>4</v>
      </c>
      <c r="L79" t="s">
        <v>1051</v>
      </c>
      <c r="M79">
        <v>3</v>
      </c>
    </row>
    <row r="80" spans="1:13" x14ac:dyDescent="0.3">
      <c r="A80" t="s">
        <v>265</v>
      </c>
      <c r="B80" t="s">
        <v>19</v>
      </c>
      <c r="C80">
        <v>40</v>
      </c>
      <c r="D80" t="s">
        <v>9</v>
      </c>
      <c r="E80" s="32">
        <v>45003</v>
      </c>
      <c r="F80">
        <v>24</v>
      </c>
      <c r="G80">
        <v>4.3</v>
      </c>
      <c r="H80">
        <v>2023</v>
      </c>
      <c r="I80" t="s">
        <v>1064</v>
      </c>
      <c r="J80" t="s">
        <v>1088</v>
      </c>
      <c r="K80">
        <v>4</v>
      </c>
      <c r="L80" t="s">
        <v>1051</v>
      </c>
      <c r="M80">
        <v>3</v>
      </c>
    </row>
    <row r="81" spans="1:13" x14ac:dyDescent="0.3">
      <c r="A81" t="s">
        <v>266</v>
      </c>
      <c r="B81" t="s">
        <v>14</v>
      </c>
      <c r="C81">
        <v>75</v>
      </c>
      <c r="D81" t="s">
        <v>6</v>
      </c>
      <c r="E81" s="32">
        <v>45003</v>
      </c>
      <c r="F81">
        <v>32</v>
      </c>
      <c r="G81">
        <v>4.0999999999999996</v>
      </c>
      <c r="H81">
        <v>2023</v>
      </c>
      <c r="I81" t="s">
        <v>1064</v>
      </c>
      <c r="J81" t="s">
        <v>1087</v>
      </c>
      <c r="K81">
        <v>4</v>
      </c>
      <c r="L81" t="s">
        <v>1051</v>
      </c>
      <c r="M81">
        <v>3</v>
      </c>
    </row>
    <row r="82" spans="1:13" x14ac:dyDescent="0.3">
      <c r="A82" t="s">
        <v>268</v>
      </c>
      <c r="B82" t="s">
        <v>18</v>
      </c>
      <c r="C82">
        <v>58</v>
      </c>
      <c r="D82" t="s">
        <v>9</v>
      </c>
      <c r="E82" s="32">
        <v>45004</v>
      </c>
      <c r="F82">
        <v>43</v>
      </c>
      <c r="G82">
        <v>4.5</v>
      </c>
      <c r="H82">
        <v>2023</v>
      </c>
      <c r="I82" t="s">
        <v>1065</v>
      </c>
      <c r="J82" t="s">
        <v>1088</v>
      </c>
      <c r="K82">
        <v>5</v>
      </c>
      <c r="L82" t="s">
        <v>1051</v>
      </c>
      <c r="M82">
        <v>3</v>
      </c>
    </row>
    <row r="83" spans="1:13" x14ac:dyDescent="0.3">
      <c r="A83" t="s">
        <v>271</v>
      </c>
      <c r="B83" t="s">
        <v>18</v>
      </c>
      <c r="C83">
        <v>67</v>
      </c>
      <c r="D83" t="s">
        <v>11</v>
      </c>
      <c r="E83" s="32">
        <v>45004</v>
      </c>
      <c r="F83">
        <v>45</v>
      </c>
      <c r="G83">
        <v>3.5</v>
      </c>
      <c r="H83">
        <v>2023</v>
      </c>
      <c r="I83" t="s">
        <v>1065</v>
      </c>
      <c r="J83" t="s">
        <v>1087</v>
      </c>
      <c r="K83">
        <v>4</v>
      </c>
      <c r="L83" t="s">
        <v>1051</v>
      </c>
      <c r="M83">
        <v>3</v>
      </c>
    </row>
    <row r="84" spans="1:13" x14ac:dyDescent="0.3">
      <c r="A84" t="s">
        <v>281</v>
      </c>
      <c r="B84" t="s">
        <v>15</v>
      </c>
      <c r="C84">
        <v>59</v>
      </c>
      <c r="D84" t="s">
        <v>11</v>
      </c>
      <c r="E84" s="32">
        <v>45006</v>
      </c>
      <c r="F84">
        <v>215</v>
      </c>
      <c r="G84">
        <v>4.0999999999999996</v>
      </c>
      <c r="H84">
        <v>2023</v>
      </c>
      <c r="I84" t="s">
        <v>1067</v>
      </c>
      <c r="J84" t="s">
        <v>1088</v>
      </c>
      <c r="K84">
        <v>4</v>
      </c>
      <c r="L84" t="s">
        <v>1051</v>
      </c>
      <c r="M84">
        <v>3</v>
      </c>
    </row>
    <row r="85" spans="1:13" x14ac:dyDescent="0.3">
      <c r="A85" t="s">
        <v>282</v>
      </c>
      <c r="B85" t="s">
        <v>15</v>
      </c>
      <c r="C85">
        <v>144</v>
      </c>
      <c r="D85" t="s">
        <v>9</v>
      </c>
      <c r="E85" s="32">
        <v>45006</v>
      </c>
      <c r="F85">
        <v>124</v>
      </c>
      <c r="G85">
        <v>4.4000000000000004</v>
      </c>
      <c r="H85">
        <v>2023</v>
      </c>
      <c r="I85" t="s">
        <v>1067</v>
      </c>
      <c r="J85" t="s">
        <v>1089</v>
      </c>
      <c r="K85">
        <v>4</v>
      </c>
      <c r="L85" t="s">
        <v>1051</v>
      </c>
      <c r="M85">
        <v>3</v>
      </c>
    </row>
    <row r="86" spans="1:13" x14ac:dyDescent="0.3">
      <c r="A86" t="s">
        <v>288</v>
      </c>
      <c r="B86" t="s">
        <v>5</v>
      </c>
      <c r="C86">
        <v>129</v>
      </c>
      <c r="D86" t="s">
        <v>6</v>
      </c>
      <c r="E86" s="32">
        <v>45007</v>
      </c>
      <c r="F86">
        <v>120</v>
      </c>
      <c r="G86">
        <v>4.0999999999999996</v>
      </c>
      <c r="H86">
        <v>2023</v>
      </c>
      <c r="I86" t="s">
        <v>1068</v>
      </c>
      <c r="J86" t="s">
        <v>1089</v>
      </c>
      <c r="K86">
        <v>4</v>
      </c>
      <c r="L86" t="s">
        <v>1051</v>
      </c>
      <c r="M86">
        <v>3</v>
      </c>
    </row>
    <row r="87" spans="1:13" x14ac:dyDescent="0.3">
      <c r="A87" t="s">
        <v>290</v>
      </c>
      <c r="B87" t="s">
        <v>19</v>
      </c>
      <c r="C87">
        <v>154</v>
      </c>
      <c r="D87" t="s">
        <v>9</v>
      </c>
      <c r="E87" s="32">
        <v>45007</v>
      </c>
      <c r="F87">
        <v>172</v>
      </c>
      <c r="G87">
        <v>3.1</v>
      </c>
      <c r="H87">
        <v>2023</v>
      </c>
      <c r="I87" t="s">
        <v>1068</v>
      </c>
      <c r="J87" t="s">
        <v>1089</v>
      </c>
      <c r="K87">
        <v>3</v>
      </c>
      <c r="L87" t="s">
        <v>1051</v>
      </c>
      <c r="M87">
        <v>3</v>
      </c>
    </row>
    <row r="88" spans="1:13" x14ac:dyDescent="0.3">
      <c r="A88" t="s">
        <v>291</v>
      </c>
      <c r="B88" t="s">
        <v>18</v>
      </c>
      <c r="C88">
        <v>131</v>
      </c>
      <c r="D88" t="s">
        <v>9</v>
      </c>
      <c r="E88" s="32">
        <v>45007</v>
      </c>
      <c r="F88">
        <v>58</v>
      </c>
      <c r="G88">
        <v>4.9000000000000004</v>
      </c>
      <c r="H88">
        <v>2023</v>
      </c>
      <c r="I88" t="s">
        <v>1068</v>
      </c>
      <c r="J88" t="s">
        <v>1089</v>
      </c>
      <c r="K88">
        <v>5</v>
      </c>
      <c r="L88" t="s">
        <v>1051</v>
      </c>
      <c r="M88">
        <v>3</v>
      </c>
    </row>
    <row r="89" spans="1:13" x14ac:dyDescent="0.3">
      <c r="A89" t="s">
        <v>292</v>
      </c>
      <c r="B89" t="s">
        <v>15</v>
      </c>
      <c r="C89">
        <v>111</v>
      </c>
      <c r="D89" t="s">
        <v>13</v>
      </c>
      <c r="E89" s="32">
        <v>45008</v>
      </c>
      <c r="F89">
        <v>86</v>
      </c>
      <c r="G89">
        <v>4.0999999999999996</v>
      </c>
      <c r="H89">
        <v>2023</v>
      </c>
      <c r="I89" t="s">
        <v>1066</v>
      </c>
      <c r="J89" t="s">
        <v>1087</v>
      </c>
      <c r="K89">
        <v>4</v>
      </c>
      <c r="L89" t="s">
        <v>1051</v>
      </c>
      <c r="M89">
        <v>3</v>
      </c>
    </row>
    <row r="90" spans="1:13" x14ac:dyDescent="0.3">
      <c r="A90" t="s">
        <v>296</v>
      </c>
      <c r="B90" t="s">
        <v>5</v>
      </c>
      <c r="C90">
        <v>76</v>
      </c>
      <c r="D90" t="s">
        <v>9</v>
      </c>
      <c r="E90" s="32">
        <v>45010</v>
      </c>
      <c r="F90">
        <v>110</v>
      </c>
      <c r="G90">
        <v>4.4000000000000004</v>
      </c>
      <c r="H90">
        <v>2023</v>
      </c>
      <c r="I90" t="s">
        <v>1064</v>
      </c>
      <c r="J90" t="s">
        <v>1087</v>
      </c>
      <c r="K90">
        <v>4</v>
      </c>
      <c r="L90" t="s">
        <v>1051</v>
      </c>
      <c r="M90">
        <v>3</v>
      </c>
    </row>
    <row r="91" spans="1:13" x14ac:dyDescent="0.3">
      <c r="A91" t="s">
        <v>304</v>
      </c>
      <c r="B91" t="s">
        <v>14</v>
      </c>
      <c r="C91">
        <v>118</v>
      </c>
      <c r="D91" t="s">
        <v>13</v>
      </c>
      <c r="E91" s="32">
        <v>45011</v>
      </c>
      <c r="F91">
        <v>99</v>
      </c>
      <c r="G91">
        <v>5</v>
      </c>
      <c r="H91">
        <v>2023</v>
      </c>
      <c r="I91" t="s">
        <v>1065</v>
      </c>
      <c r="J91" t="s">
        <v>1087</v>
      </c>
      <c r="K91">
        <v>5</v>
      </c>
      <c r="L91" t="s">
        <v>1051</v>
      </c>
      <c r="M91">
        <v>3</v>
      </c>
    </row>
    <row r="92" spans="1:13" x14ac:dyDescent="0.3">
      <c r="A92" t="s">
        <v>305</v>
      </c>
      <c r="B92" t="s">
        <v>19</v>
      </c>
      <c r="C92">
        <v>75</v>
      </c>
      <c r="D92" t="s">
        <v>9</v>
      </c>
      <c r="E92" s="32">
        <v>45011</v>
      </c>
      <c r="F92">
        <v>135</v>
      </c>
      <c r="G92">
        <v>4.7</v>
      </c>
      <c r="H92">
        <v>2023</v>
      </c>
      <c r="I92" t="s">
        <v>1065</v>
      </c>
      <c r="J92" t="s">
        <v>1087</v>
      </c>
      <c r="K92">
        <v>5</v>
      </c>
      <c r="L92" t="s">
        <v>1051</v>
      </c>
      <c r="M92">
        <v>3</v>
      </c>
    </row>
    <row r="93" spans="1:13" x14ac:dyDescent="0.3">
      <c r="A93" t="s">
        <v>308</v>
      </c>
      <c r="B93" t="s">
        <v>15</v>
      </c>
      <c r="C93">
        <v>61</v>
      </c>
      <c r="D93" t="s">
        <v>11</v>
      </c>
      <c r="E93" s="32">
        <v>45012</v>
      </c>
      <c r="F93">
        <v>140</v>
      </c>
      <c r="G93">
        <v>1.8</v>
      </c>
      <c r="H93">
        <v>2023</v>
      </c>
      <c r="I93" t="s">
        <v>1063</v>
      </c>
      <c r="J93" t="s">
        <v>1087</v>
      </c>
      <c r="K93">
        <v>2</v>
      </c>
      <c r="L93" t="s">
        <v>1051</v>
      </c>
      <c r="M93">
        <v>3</v>
      </c>
    </row>
    <row r="94" spans="1:13" x14ac:dyDescent="0.3">
      <c r="A94" t="s">
        <v>312</v>
      </c>
      <c r="B94" t="s">
        <v>19</v>
      </c>
      <c r="C94">
        <v>39</v>
      </c>
      <c r="D94" t="s">
        <v>11</v>
      </c>
      <c r="E94" s="32">
        <v>45013</v>
      </c>
      <c r="F94">
        <v>81</v>
      </c>
      <c r="G94">
        <v>5</v>
      </c>
      <c r="H94">
        <v>2023</v>
      </c>
      <c r="I94" t="s">
        <v>1067</v>
      </c>
      <c r="J94" t="s">
        <v>1088</v>
      </c>
      <c r="K94">
        <v>5</v>
      </c>
      <c r="L94" t="s">
        <v>1051</v>
      </c>
      <c r="M94">
        <v>3</v>
      </c>
    </row>
    <row r="95" spans="1:13" x14ac:dyDescent="0.3">
      <c r="A95" t="s">
        <v>314</v>
      </c>
      <c r="B95" t="s">
        <v>15</v>
      </c>
      <c r="C95">
        <v>78</v>
      </c>
      <c r="D95" t="s">
        <v>9</v>
      </c>
      <c r="E95" s="32">
        <v>45013</v>
      </c>
      <c r="F95">
        <v>43</v>
      </c>
      <c r="G95">
        <v>3.8</v>
      </c>
      <c r="H95">
        <v>2023</v>
      </c>
      <c r="I95" t="s">
        <v>1067</v>
      </c>
      <c r="J95" t="s">
        <v>1087</v>
      </c>
      <c r="K95">
        <v>4</v>
      </c>
      <c r="L95" t="s">
        <v>1051</v>
      </c>
      <c r="M95">
        <v>3</v>
      </c>
    </row>
    <row r="96" spans="1:13" x14ac:dyDescent="0.3">
      <c r="A96" t="s">
        <v>315</v>
      </c>
      <c r="B96" t="s">
        <v>14</v>
      </c>
      <c r="C96">
        <v>40</v>
      </c>
      <c r="D96" t="s">
        <v>9</v>
      </c>
      <c r="E96" s="32">
        <v>45013</v>
      </c>
      <c r="F96">
        <v>34</v>
      </c>
      <c r="G96">
        <v>4.5999999999999996</v>
      </c>
      <c r="H96">
        <v>2023</v>
      </c>
      <c r="I96" t="s">
        <v>1067</v>
      </c>
      <c r="J96" t="s">
        <v>1088</v>
      </c>
      <c r="K96">
        <v>5</v>
      </c>
      <c r="L96" t="s">
        <v>1051</v>
      </c>
      <c r="M96">
        <v>3</v>
      </c>
    </row>
    <row r="97" spans="1:13" x14ac:dyDescent="0.3">
      <c r="A97" t="s">
        <v>316</v>
      </c>
      <c r="B97" t="s">
        <v>15</v>
      </c>
      <c r="C97">
        <v>56</v>
      </c>
      <c r="D97" t="s">
        <v>11</v>
      </c>
      <c r="E97" s="32">
        <v>45013</v>
      </c>
      <c r="F97">
        <v>225</v>
      </c>
      <c r="G97">
        <v>4.5999999999999996</v>
      </c>
      <c r="H97">
        <v>2023</v>
      </c>
      <c r="I97" t="s">
        <v>1067</v>
      </c>
      <c r="J97" t="s">
        <v>1088</v>
      </c>
      <c r="K97">
        <v>5</v>
      </c>
      <c r="L97" t="s">
        <v>1051</v>
      </c>
      <c r="M97">
        <v>3</v>
      </c>
    </row>
    <row r="98" spans="1:13" x14ac:dyDescent="0.3">
      <c r="A98" t="s">
        <v>317</v>
      </c>
      <c r="B98" t="s">
        <v>19</v>
      </c>
      <c r="C98">
        <v>59</v>
      </c>
      <c r="D98" t="s">
        <v>6</v>
      </c>
      <c r="E98" s="32">
        <v>45013</v>
      </c>
      <c r="F98">
        <v>210</v>
      </c>
      <c r="G98">
        <v>4.5</v>
      </c>
      <c r="H98">
        <v>2023</v>
      </c>
      <c r="I98" t="s">
        <v>1067</v>
      </c>
      <c r="J98" t="s">
        <v>1088</v>
      </c>
      <c r="K98">
        <v>5</v>
      </c>
      <c r="L98" t="s">
        <v>1051</v>
      </c>
      <c r="M98">
        <v>3</v>
      </c>
    </row>
    <row r="99" spans="1:13" x14ac:dyDescent="0.3">
      <c r="A99" t="s">
        <v>319</v>
      </c>
      <c r="B99" t="s">
        <v>14</v>
      </c>
      <c r="C99">
        <v>63</v>
      </c>
      <c r="D99" t="s">
        <v>10</v>
      </c>
      <c r="E99" s="32">
        <v>45014</v>
      </c>
      <c r="F99">
        <v>82</v>
      </c>
      <c r="G99">
        <v>4.5</v>
      </c>
      <c r="H99">
        <v>2023</v>
      </c>
      <c r="I99" t="s">
        <v>1068</v>
      </c>
      <c r="J99" t="s">
        <v>1087</v>
      </c>
      <c r="K99">
        <v>5</v>
      </c>
      <c r="L99" t="s">
        <v>1051</v>
      </c>
      <c r="M99">
        <v>3</v>
      </c>
    </row>
    <row r="100" spans="1:13" x14ac:dyDescent="0.3">
      <c r="A100" t="s">
        <v>321</v>
      </c>
      <c r="B100" t="s">
        <v>5</v>
      </c>
      <c r="C100">
        <v>95</v>
      </c>
      <c r="D100" t="s">
        <v>10</v>
      </c>
      <c r="E100" s="32">
        <v>45014</v>
      </c>
      <c r="F100">
        <v>111</v>
      </c>
      <c r="G100">
        <v>3.3</v>
      </c>
      <c r="H100">
        <v>2023</v>
      </c>
      <c r="I100" t="s">
        <v>1068</v>
      </c>
      <c r="J100" t="s">
        <v>1087</v>
      </c>
      <c r="K100">
        <v>3</v>
      </c>
      <c r="L100" t="s">
        <v>1051</v>
      </c>
      <c r="M100">
        <v>3</v>
      </c>
    </row>
    <row r="101" spans="1:13" x14ac:dyDescent="0.3">
      <c r="A101" t="s">
        <v>328</v>
      </c>
      <c r="B101" t="s">
        <v>18</v>
      </c>
      <c r="C101">
        <v>99</v>
      </c>
      <c r="D101" t="s">
        <v>9</v>
      </c>
      <c r="E101" s="32">
        <v>45017</v>
      </c>
      <c r="F101">
        <v>74</v>
      </c>
      <c r="G101">
        <v>4</v>
      </c>
      <c r="H101">
        <v>2023</v>
      </c>
      <c r="I101" t="s">
        <v>1064</v>
      </c>
      <c r="J101" t="s">
        <v>1087</v>
      </c>
      <c r="K101">
        <v>4</v>
      </c>
      <c r="L101" t="s">
        <v>1052</v>
      </c>
      <c r="M101">
        <v>4</v>
      </c>
    </row>
    <row r="102" spans="1:13" x14ac:dyDescent="0.3">
      <c r="A102" t="s">
        <v>330</v>
      </c>
      <c r="B102" t="s">
        <v>14</v>
      </c>
      <c r="C102">
        <v>65</v>
      </c>
      <c r="D102" t="s">
        <v>9</v>
      </c>
      <c r="E102" s="32">
        <v>45017</v>
      </c>
      <c r="F102">
        <v>64</v>
      </c>
      <c r="G102">
        <v>3.7</v>
      </c>
      <c r="H102">
        <v>2023</v>
      </c>
      <c r="I102" t="s">
        <v>1064</v>
      </c>
      <c r="J102" t="s">
        <v>1087</v>
      </c>
      <c r="K102">
        <v>4</v>
      </c>
      <c r="L102" t="s">
        <v>1052</v>
      </c>
      <c r="M102">
        <v>4</v>
      </c>
    </row>
    <row r="103" spans="1:13" x14ac:dyDescent="0.3">
      <c r="A103" t="s">
        <v>336</v>
      </c>
      <c r="B103" t="s">
        <v>18</v>
      </c>
      <c r="C103">
        <v>111</v>
      </c>
      <c r="D103" t="s">
        <v>9</v>
      </c>
      <c r="E103" s="32">
        <v>45020</v>
      </c>
      <c r="F103">
        <v>175</v>
      </c>
      <c r="G103">
        <v>3.5</v>
      </c>
      <c r="H103">
        <v>2023</v>
      </c>
      <c r="I103" t="s">
        <v>1067</v>
      </c>
      <c r="J103" t="s">
        <v>1087</v>
      </c>
      <c r="K103">
        <v>4</v>
      </c>
      <c r="L103" t="s">
        <v>1052</v>
      </c>
      <c r="M103">
        <v>4</v>
      </c>
    </row>
    <row r="104" spans="1:13" x14ac:dyDescent="0.3">
      <c r="A104" t="s">
        <v>339</v>
      </c>
      <c r="B104" t="s">
        <v>15</v>
      </c>
      <c r="C104">
        <v>38</v>
      </c>
      <c r="D104" t="s">
        <v>9</v>
      </c>
      <c r="E104" s="32">
        <v>45021</v>
      </c>
      <c r="F104">
        <v>81</v>
      </c>
      <c r="G104">
        <v>3.6</v>
      </c>
      <c r="H104">
        <v>2023</v>
      </c>
      <c r="I104" t="s">
        <v>1068</v>
      </c>
      <c r="J104" t="s">
        <v>1088</v>
      </c>
      <c r="K104">
        <v>4</v>
      </c>
      <c r="L104" t="s">
        <v>1052</v>
      </c>
      <c r="M104">
        <v>4</v>
      </c>
    </row>
    <row r="105" spans="1:13" x14ac:dyDescent="0.3">
      <c r="A105" t="s">
        <v>340</v>
      </c>
      <c r="B105" t="s">
        <v>19</v>
      </c>
      <c r="C105">
        <v>130</v>
      </c>
      <c r="D105" t="s">
        <v>6</v>
      </c>
      <c r="E105" s="32">
        <v>45021</v>
      </c>
      <c r="F105">
        <v>54</v>
      </c>
      <c r="G105">
        <v>4.0999999999999996</v>
      </c>
      <c r="H105">
        <v>2023</v>
      </c>
      <c r="I105" t="s">
        <v>1068</v>
      </c>
      <c r="J105" t="s">
        <v>1089</v>
      </c>
      <c r="K105">
        <v>4</v>
      </c>
      <c r="L105" t="s">
        <v>1052</v>
      </c>
      <c r="M105">
        <v>4</v>
      </c>
    </row>
    <row r="106" spans="1:13" x14ac:dyDescent="0.3">
      <c r="A106" t="s">
        <v>341</v>
      </c>
      <c r="B106" t="s">
        <v>14</v>
      </c>
      <c r="C106">
        <v>23</v>
      </c>
      <c r="D106" t="s">
        <v>11</v>
      </c>
      <c r="E106" s="32">
        <v>45021</v>
      </c>
      <c r="F106">
        <v>105</v>
      </c>
      <c r="G106">
        <v>4.8</v>
      </c>
      <c r="H106">
        <v>2023</v>
      </c>
      <c r="I106" t="s">
        <v>1068</v>
      </c>
      <c r="J106" t="s">
        <v>1091</v>
      </c>
      <c r="K106">
        <v>5</v>
      </c>
      <c r="L106" t="s">
        <v>1052</v>
      </c>
      <c r="M106">
        <v>4</v>
      </c>
    </row>
    <row r="107" spans="1:13" x14ac:dyDescent="0.3">
      <c r="A107" t="s">
        <v>342</v>
      </c>
      <c r="B107" t="s">
        <v>19</v>
      </c>
      <c r="C107">
        <v>124</v>
      </c>
      <c r="D107" t="s">
        <v>9</v>
      </c>
      <c r="E107" s="32">
        <v>45022</v>
      </c>
      <c r="F107">
        <v>176</v>
      </c>
      <c r="G107">
        <v>3.9</v>
      </c>
      <c r="H107">
        <v>2023</v>
      </c>
      <c r="I107" t="s">
        <v>1066</v>
      </c>
      <c r="J107" t="s">
        <v>1089</v>
      </c>
      <c r="K107">
        <v>4</v>
      </c>
      <c r="L107" t="s">
        <v>1052</v>
      </c>
      <c r="M107">
        <v>4</v>
      </c>
    </row>
    <row r="108" spans="1:13" x14ac:dyDescent="0.3">
      <c r="A108" t="s">
        <v>349</v>
      </c>
      <c r="B108" t="s">
        <v>15</v>
      </c>
      <c r="C108">
        <v>36</v>
      </c>
      <c r="D108" t="s">
        <v>9</v>
      </c>
      <c r="E108" s="32">
        <v>45023</v>
      </c>
      <c r="F108">
        <v>135</v>
      </c>
      <c r="G108">
        <v>4.5999999999999996</v>
      </c>
      <c r="H108">
        <v>2023</v>
      </c>
      <c r="I108" t="s">
        <v>1062</v>
      </c>
      <c r="J108" t="s">
        <v>1088</v>
      </c>
      <c r="K108">
        <v>5</v>
      </c>
      <c r="L108" t="s">
        <v>1052</v>
      </c>
      <c r="M108">
        <v>4</v>
      </c>
    </row>
    <row r="109" spans="1:13" x14ac:dyDescent="0.3">
      <c r="A109" t="s">
        <v>350</v>
      </c>
      <c r="B109" t="s">
        <v>19</v>
      </c>
      <c r="C109">
        <v>74</v>
      </c>
      <c r="D109" t="s">
        <v>9</v>
      </c>
      <c r="E109" s="32">
        <v>45023</v>
      </c>
      <c r="F109">
        <v>30</v>
      </c>
      <c r="G109">
        <v>4</v>
      </c>
      <c r="H109">
        <v>2023</v>
      </c>
      <c r="I109" t="s">
        <v>1062</v>
      </c>
      <c r="J109" t="s">
        <v>1087</v>
      </c>
      <c r="K109">
        <v>4</v>
      </c>
      <c r="L109" t="s">
        <v>1052</v>
      </c>
      <c r="M109">
        <v>4</v>
      </c>
    </row>
    <row r="110" spans="1:13" x14ac:dyDescent="0.3">
      <c r="A110" t="s">
        <v>352</v>
      </c>
      <c r="B110" t="s">
        <v>5</v>
      </c>
      <c r="C110">
        <v>70</v>
      </c>
      <c r="D110" t="s">
        <v>13</v>
      </c>
      <c r="E110" s="32">
        <v>45023</v>
      </c>
      <c r="F110">
        <v>42</v>
      </c>
      <c r="G110">
        <v>4.4000000000000004</v>
      </c>
      <c r="H110">
        <v>2023</v>
      </c>
      <c r="I110" t="s">
        <v>1062</v>
      </c>
      <c r="J110" t="s">
        <v>1087</v>
      </c>
      <c r="K110">
        <v>4</v>
      </c>
      <c r="L110" t="s">
        <v>1052</v>
      </c>
      <c r="M110">
        <v>4</v>
      </c>
    </row>
    <row r="111" spans="1:13" x14ac:dyDescent="0.3">
      <c r="A111" t="s">
        <v>354</v>
      </c>
      <c r="B111" t="s">
        <v>18</v>
      </c>
      <c r="C111">
        <v>104</v>
      </c>
      <c r="D111" t="s">
        <v>11</v>
      </c>
      <c r="E111" s="32">
        <v>45023</v>
      </c>
      <c r="F111">
        <v>164</v>
      </c>
      <c r="G111">
        <v>4</v>
      </c>
      <c r="H111">
        <v>2023</v>
      </c>
      <c r="I111" t="s">
        <v>1062</v>
      </c>
      <c r="J111" t="s">
        <v>1087</v>
      </c>
      <c r="K111">
        <v>4</v>
      </c>
      <c r="L111" t="s">
        <v>1052</v>
      </c>
      <c r="M111">
        <v>4</v>
      </c>
    </row>
    <row r="112" spans="1:13" x14ac:dyDescent="0.3">
      <c r="A112" t="s">
        <v>362</v>
      </c>
      <c r="B112" t="s">
        <v>19</v>
      </c>
      <c r="C112">
        <v>23</v>
      </c>
      <c r="D112" t="s">
        <v>9</v>
      </c>
      <c r="E112" s="32">
        <v>45025</v>
      </c>
      <c r="F112">
        <v>86</v>
      </c>
      <c r="G112">
        <v>2.2000000000000002</v>
      </c>
      <c r="H112">
        <v>2023</v>
      </c>
      <c r="I112" t="s">
        <v>1065</v>
      </c>
      <c r="J112" t="s">
        <v>1091</v>
      </c>
      <c r="K112">
        <v>2</v>
      </c>
      <c r="L112" t="s">
        <v>1052</v>
      </c>
      <c r="M112">
        <v>4</v>
      </c>
    </row>
    <row r="113" spans="1:13" x14ac:dyDescent="0.3">
      <c r="A113" t="s">
        <v>367</v>
      </c>
      <c r="B113" t="s">
        <v>18</v>
      </c>
      <c r="C113">
        <v>104</v>
      </c>
      <c r="D113" t="s">
        <v>13</v>
      </c>
      <c r="E113" s="32">
        <v>45026</v>
      </c>
      <c r="F113">
        <v>68</v>
      </c>
      <c r="G113">
        <v>3.6</v>
      </c>
      <c r="H113">
        <v>2023</v>
      </c>
      <c r="I113" t="s">
        <v>1063</v>
      </c>
      <c r="J113" t="s">
        <v>1087</v>
      </c>
      <c r="K113">
        <v>4</v>
      </c>
      <c r="L113" t="s">
        <v>1052</v>
      </c>
      <c r="M113">
        <v>4</v>
      </c>
    </row>
    <row r="114" spans="1:13" x14ac:dyDescent="0.3">
      <c r="A114" t="s">
        <v>369</v>
      </c>
      <c r="B114" t="s">
        <v>19</v>
      </c>
      <c r="C114">
        <v>99</v>
      </c>
      <c r="D114" t="s">
        <v>13</v>
      </c>
      <c r="E114" s="32">
        <v>45026</v>
      </c>
      <c r="F114">
        <v>42</v>
      </c>
      <c r="G114">
        <v>3.1</v>
      </c>
      <c r="H114">
        <v>2023</v>
      </c>
      <c r="I114" t="s">
        <v>1063</v>
      </c>
      <c r="J114" t="s">
        <v>1087</v>
      </c>
      <c r="K114">
        <v>3</v>
      </c>
      <c r="L114" t="s">
        <v>1052</v>
      </c>
      <c r="M114">
        <v>4</v>
      </c>
    </row>
    <row r="115" spans="1:13" x14ac:dyDescent="0.3">
      <c r="A115" t="s">
        <v>370</v>
      </c>
      <c r="B115" t="s">
        <v>18</v>
      </c>
      <c r="C115">
        <v>84</v>
      </c>
      <c r="D115" t="s">
        <v>13</v>
      </c>
      <c r="E115" s="32">
        <v>45027</v>
      </c>
      <c r="F115">
        <v>38</v>
      </c>
      <c r="G115">
        <v>3.3</v>
      </c>
      <c r="H115">
        <v>2023</v>
      </c>
      <c r="I115" t="s">
        <v>1067</v>
      </c>
      <c r="J115" t="s">
        <v>1087</v>
      </c>
      <c r="K115">
        <v>3</v>
      </c>
      <c r="L115" t="s">
        <v>1052</v>
      </c>
      <c r="M115">
        <v>4</v>
      </c>
    </row>
    <row r="116" spans="1:13" x14ac:dyDescent="0.3">
      <c r="A116" t="s">
        <v>372</v>
      </c>
      <c r="B116" t="s">
        <v>15</v>
      </c>
      <c r="C116">
        <v>25</v>
      </c>
      <c r="D116" t="s">
        <v>10</v>
      </c>
      <c r="E116" s="32">
        <v>45027</v>
      </c>
      <c r="F116">
        <v>75</v>
      </c>
      <c r="G116">
        <v>3.9</v>
      </c>
      <c r="H116">
        <v>2023</v>
      </c>
      <c r="I116" t="s">
        <v>1067</v>
      </c>
      <c r="J116" t="s">
        <v>1091</v>
      </c>
      <c r="K116">
        <v>4</v>
      </c>
      <c r="L116" t="s">
        <v>1052</v>
      </c>
      <c r="M116">
        <v>4</v>
      </c>
    </row>
    <row r="117" spans="1:13" x14ac:dyDescent="0.3">
      <c r="A117" t="s">
        <v>376</v>
      </c>
      <c r="B117" t="s">
        <v>19</v>
      </c>
      <c r="C117">
        <v>50</v>
      </c>
      <c r="D117" t="s">
        <v>9</v>
      </c>
      <c r="E117" s="32">
        <v>45029</v>
      </c>
      <c r="F117">
        <v>105</v>
      </c>
      <c r="G117">
        <v>3.5</v>
      </c>
      <c r="H117">
        <v>2023</v>
      </c>
      <c r="I117" t="s">
        <v>1066</v>
      </c>
      <c r="J117" t="s">
        <v>1088</v>
      </c>
      <c r="K117">
        <v>4</v>
      </c>
      <c r="L117" t="s">
        <v>1052</v>
      </c>
      <c r="M117">
        <v>4</v>
      </c>
    </row>
    <row r="118" spans="1:13" x14ac:dyDescent="0.3">
      <c r="A118" t="s">
        <v>378</v>
      </c>
      <c r="B118" t="s">
        <v>14</v>
      </c>
      <c r="C118">
        <v>114</v>
      </c>
      <c r="D118" t="s">
        <v>13</v>
      </c>
      <c r="E118" s="32">
        <v>45030</v>
      </c>
      <c r="F118">
        <v>126</v>
      </c>
      <c r="G118">
        <v>4.4000000000000004</v>
      </c>
      <c r="H118">
        <v>2023</v>
      </c>
      <c r="I118" t="s">
        <v>1062</v>
      </c>
      <c r="J118" t="s">
        <v>1087</v>
      </c>
      <c r="K118">
        <v>4</v>
      </c>
      <c r="L118" t="s">
        <v>1052</v>
      </c>
      <c r="M118">
        <v>4</v>
      </c>
    </row>
    <row r="119" spans="1:13" x14ac:dyDescent="0.3">
      <c r="A119" t="s">
        <v>381</v>
      </c>
      <c r="B119" t="s">
        <v>5</v>
      </c>
      <c r="C119">
        <v>67</v>
      </c>
      <c r="D119" t="s">
        <v>9</v>
      </c>
      <c r="E119" s="32">
        <v>45031</v>
      </c>
      <c r="F119">
        <v>172</v>
      </c>
      <c r="G119">
        <v>4.5</v>
      </c>
      <c r="H119">
        <v>2023</v>
      </c>
      <c r="I119" t="s">
        <v>1064</v>
      </c>
      <c r="J119" t="s">
        <v>1087</v>
      </c>
      <c r="K119">
        <v>5</v>
      </c>
      <c r="L119" t="s">
        <v>1052</v>
      </c>
      <c r="M119">
        <v>4</v>
      </c>
    </row>
    <row r="120" spans="1:13" x14ac:dyDescent="0.3">
      <c r="A120" t="s">
        <v>382</v>
      </c>
      <c r="B120" t="s">
        <v>14</v>
      </c>
      <c r="C120">
        <v>139</v>
      </c>
      <c r="D120" t="s">
        <v>10</v>
      </c>
      <c r="E120" s="32">
        <v>45031</v>
      </c>
      <c r="F120">
        <v>114</v>
      </c>
      <c r="G120">
        <v>4</v>
      </c>
      <c r="H120">
        <v>2023</v>
      </c>
      <c r="I120" t="s">
        <v>1064</v>
      </c>
      <c r="J120" t="s">
        <v>1089</v>
      </c>
      <c r="K120">
        <v>4</v>
      </c>
      <c r="L120" t="s">
        <v>1052</v>
      </c>
      <c r="M120">
        <v>4</v>
      </c>
    </row>
    <row r="121" spans="1:13" x14ac:dyDescent="0.3">
      <c r="A121" t="s">
        <v>383</v>
      </c>
      <c r="B121" t="s">
        <v>5</v>
      </c>
      <c r="C121">
        <v>102</v>
      </c>
      <c r="D121" t="s">
        <v>10</v>
      </c>
      <c r="E121" s="32">
        <v>45031</v>
      </c>
      <c r="F121">
        <v>60</v>
      </c>
      <c r="G121">
        <v>3.8</v>
      </c>
      <c r="H121">
        <v>2023</v>
      </c>
      <c r="I121" t="s">
        <v>1064</v>
      </c>
      <c r="J121" t="s">
        <v>1087</v>
      </c>
      <c r="K121">
        <v>4</v>
      </c>
      <c r="L121" t="s">
        <v>1052</v>
      </c>
      <c r="M121">
        <v>4</v>
      </c>
    </row>
    <row r="122" spans="1:13" x14ac:dyDescent="0.3">
      <c r="A122" t="s">
        <v>385</v>
      </c>
      <c r="B122" t="s">
        <v>15</v>
      </c>
      <c r="C122">
        <v>66</v>
      </c>
      <c r="D122" t="s">
        <v>9</v>
      </c>
      <c r="E122" s="32">
        <v>45031</v>
      </c>
      <c r="F122">
        <v>210</v>
      </c>
      <c r="G122">
        <v>4.3</v>
      </c>
      <c r="H122">
        <v>2023</v>
      </c>
      <c r="I122" t="s">
        <v>1064</v>
      </c>
      <c r="J122" t="s">
        <v>1087</v>
      </c>
      <c r="K122">
        <v>4</v>
      </c>
      <c r="L122" t="s">
        <v>1052</v>
      </c>
      <c r="M122">
        <v>4</v>
      </c>
    </row>
    <row r="123" spans="1:13" x14ac:dyDescent="0.3">
      <c r="A123" t="s">
        <v>390</v>
      </c>
      <c r="B123" t="s">
        <v>19</v>
      </c>
      <c r="C123">
        <v>45</v>
      </c>
      <c r="D123" t="s">
        <v>11</v>
      </c>
      <c r="E123" s="32">
        <v>45032</v>
      </c>
      <c r="F123">
        <v>156</v>
      </c>
      <c r="G123">
        <v>2.7</v>
      </c>
      <c r="H123">
        <v>2023</v>
      </c>
      <c r="I123" t="s">
        <v>1065</v>
      </c>
      <c r="J123" t="s">
        <v>1088</v>
      </c>
      <c r="K123">
        <v>3</v>
      </c>
      <c r="L123" t="s">
        <v>1052</v>
      </c>
      <c r="M123">
        <v>4</v>
      </c>
    </row>
    <row r="124" spans="1:13" x14ac:dyDescent="0.3">
      <c r="A124" t="s">
        <v>396</v>
      </c>
      <c r="B124" t="s">
        <v>14</v>
      </c>
      <c r="C124">
        <v>69</v>
      </c>
      <c r="D124" t="s">
        <v>11</v>
      </c>
      <c r="E124" s="32">
        <v>45032</v>
      </c>
      <c r="F124">
        <v>130</v>
      </c>
      <c r="G124">
        <v>1.9</v>
      </c>
      <c r="H124">
        <v>2023</v>
      </c>
      <c r="I124" t="s">
        <v>1065</v>
      </c>
      <c r="J124" t="s">
        <v>1087</v>
      </c>
      <c r="K124">
        <v>2</v>
      </c>
      <c r="L124" t="s">
        <v>1052</v>
      </c>
      <c r="M124">
        <v>4</v>
      </c>
    </row>
    <row r="125" spans="1:13" x14ac:dyDescent="0.3">
      <c r="A125" t="s">
        <v>397</v>
      </c>
      <c r="B125" t="s">
        <v>18</v>
      </c>
      <c r="C125">
        <v>110</v>
      </c>
      <c r="D125" t="s">
        <v>13</v>
      </c>
      <c r="E125" s="32">
        <v>45033</v>
      </c>
      <c r="F125">
        <v>21</v>
      </c>
      <c r="G125">
        <v>2.6</v>
      </c>
      <c r="H125">
        <v>2023</v>
      </c>
      <c r="I125" t="s">
        <v>1063</v>
      </c>
      <c r="J125" t="s">
        <v>1087</v>
      </c>
      <c r="K125">
        <v>3</v>
      </c>
      <c r="L125" t="s">
        <v>1052</v>
      </c>
      <c r="M125">
        <v>4</v>
      </c>
    </row>
    <row r="126" spans="1:13" x14ac:dyDescent="0.3">
      <c r="A126" t="s">
        <v>398</v>
      </c>
      <c r="B126" t="s">
        <v>5</v>
      </c>
      <c r="C126">
        <v>64</v>
      </c>
      <c r="D126" t="s">
        <v>10</v>
      </c>
      <c r="E126" s="32">
        <v>45033</v>
      </c>
      <c r="F126">
        <v>88</v>
      </c>
      <c r="G126">
        <v>4.3</v>
      </c>
      <c r="H126">
        <v>2023</v>
      </c>
      <c r="I126" t="s">
        <v>1063</v>
      </c>
      <c r="J126" t="s">
        <v>1087</v>
      </c>
      <c r="K126">
        <v>4</v>
      </c>
      <c r="L126" t="s">
        <v>1052</v>
      </c>
      <c r="M126">
        <v>4</v>
      </c>
    </row>
    <row r="127" spans="1:13" x14ac:dyDescent="0.3">
      <c r="A127" t="s">
        <v>400</v>
      </c>
      <c r="B127" t="s">
        <v>5</v>
      </c>
      <c r="C127">
        <v>165</v>
      </c>
      <c r="D127" t="s">
        <v>9</v>
      </c>
      <c r="E127" s="32">
        <v>45033</v>
      </c>
      <c r="F127">
        <v>68</v>
      </c>
      <c r="G127">
        <v>4.3</v>
      </c>
      <c r="H127">
        <v>2023</v>
      </c>
      <c r="I127" t="s">
        <v>1063</v>
      </c>
      <c r="J127" t="s">
        <v>1089</v>
      </c>
      <c r="K127">
        <v>4</v>
      </c>
      <c r="L127" t="s">
        <v>1052</v>
      </c>
      <c r="M127">
        <v>4</v>
      </c>
    </row>
    <row r="128" spans="1:13" x14ac:dyDescent="0.3">
      <c r="A128" t="s">
        <v>401</v>
      </c>
      <c r="B128" t="s">
        <v>19</v>
      </c>
      <c r="C128">
        <v>125</v>
      </c>
      <c r="D128" t="s">
        <v>9</v>
      </c>
      <c r="E128" s="32">
        <v>45033</v>
      </c>
      <c r="F128">
        <v>148</v>
      </c>
      <c r="G128">
        <v>4.5</v>
      </c>
      <c r="H128">
        <v>2023</v>
      </c>
      <c r="I128" t="s">
        <v>1063</v>
      </c>
      <c r="J128" t="s">
        <v>1089</v>
      </c>
      <c r="K128">
        <v>5</v>
      </c>
      <c r="L128" t="s">
        <v>1052</v>
      </c>
      <c r="M128">
        <v>4</v>
      </c>
    </row>
    <row r="129" spans="1:13" x14ac:dyDescent="0.3">
      <c r="A129" t="s">
        <v>403</v>
      </c>
      <c r="B129" t="s">
        <v>14</v>
      </c>
      <c r="C129">
        <v>6</v>
      </c>
      <c r="D129" t="s">
        <v>10</v>
      </c>
      <c r="E129" s="32">
        <v>45034</v>
      </c>
      <c r="F129">
        <v>75</v>
      </c>
      <c r="G129">
        <v>3.9</v>
      </c>
      <c r="H129">
        <v>2023</v>
      </c>
      <c r="I129" t="s">
        <v>1067</v>
      </c>
      <c r="J129" t="s">
        <v>1090</v>
      </c>
      <c r="K129">
        <v>4</v>
      </c>
      <c r="L129" t="s">
        <v>1052</v>
      </c>
      <c r="M129">
        <v>4</v>
      </c>
    </row>
    <row r="130" spans="1:13" x14ac:dyDescent="0.3">
      <c r="A130" t="s">
        <v>411</v>
      </c>
      <c r="B130" t="s">
        <v>5</v>
      </c>
      <c r="C130">
        <v>62</v>
      </c>
      <c r="D130" t="s">
        <v>11</v>
      </c>
      <c r="E130" s="32">
        <v>45035</v>
      </c>
      <c r="F130">
        <v>35</v>
      </c>
      <c r="G130">
        <v>4.4000000000000004</v>
      </c>
      <c r="H130">
        <v>2023</v>
      </c>
      <c r="I130" t="s">
        <v>1068</v>
      </c>
      <c r="J130" t="s">
        <v>1087</v>
      </c>
      <c r="K130">
        <v>4</v>
      </c>
      <c r="L130" t="s">
        <v>1052</v>
      </c>
      <c r="M130">
        <v>4</v>
      </c>
    </row>
    <row r="131" spans="1:13" x14ac:dyDescent="0.3">
      <c r="A131" t="s">
        <v>412</v>
      </c>
      <c r="B131" t="s">
        <v>18</v>
      </c>
      <c r="C131">
        <v>88</v>
      </c>
      <c r="D131" t="s">
        <v>11</v>
      </c>
      <c r="E131" s="32">
        <v>45036</v>
      </c>
      <c r="F131">
        <v>35</v>
      </c>
      <c r="G131">
        <v>3.8</v>
      </c>
      <c r="H131">
        <v>2023</v>
      </c>
      <c r="I131" t="s">
        <v>1066</v>
      </c>
      <c r="J131" t="s">
        <v>1087</v>
      </c>
      <c r="K131">
        <v>4</v>
      </c>
      <c r="L131" t="s">
        <v>1052</v>
      </c>
      <c r="M131">
        <v>4</v>
      </c>
    </row>
    <row r="132" spans="1:13" x14ac:dyDescent="0.3">
      <c r="A132" t="s">
        <v>413</v>
      </c>
      <c r="B132" t="s">
        <v>19</v>
      </c>
      <c r="C132">
        <v>116</v>
      </c>
      <c r="D132" t="s">
        <v>11</v>
      </c>
      <c r="E132" s="32">
        <v>45036</v>
      </c>
      <c r="F132">
        <v>132</v>
      </c>
      <c r="G132">
        <v>5</v>
      </c>
      <c r="H132">
        <v>2023</v>
      </c>
      <c r="I132" t="s">
        <v>1066</v>
      </c>
      <c r="J132" t="s">
        <v>1087</v>
      </c>
      <c r="K132">
        <v>5</v>
      </c>
      <c r="L132" t="s">
        <v>1052</v>
      </c>
      <c r="M132">
        <v>4</v>
      </c>
    </row>
    <row r="133" spans="1:13" x14ac:dyDescent="0.3">
      <c r="A133" t="s">
        <v>415</v>
      </c>
      <c r="B133" t="s">
        <v>5</v>
      </c>
      <c r="C133">
        <v>99</v>
      </c>
      <c r="D133" t="s">
        <v>9</v>
      </c>
      <c r="E133" s="32">
        <v>45037</v>
      </c>
      <c r="F133">
        <v>48</v>
      </c>
      <c r="G133">
        <v>5</v>
      </c>
      <c r="H133">
        <v>2023</v>
      </c>
      <c r="I133" t="s">
        <v>1062</v>
      </c>
      <c r="J133" t="s">
        <v>1087</v>
      </c>
      <c r="K133">
        <v>5</v>
      </c>
      <c r="L133" t="s">
        <v>1052</v>
      </c>
      <c r="M133">
        <v>4</v>
      </c>
    </row>
    <row r="134" spans="1:13" x14ac:dyDescent="0.3">
      <c r="A134" t="s">
        <v>416</v>
      </c>
      <c r="B134" t="s">
        <v>5</v>
      </c>
      <c r="C134">
        <v>55</v>
      </c>
      <c r="D134" t="s">
        <v>10</v>
      </c>
      <c r="E134" s="32">
        <v>45037</v>
      </c>
      <c r="F134">
        <v>200</v>
      </c>
      <c r="G134">
        <v>2.2999999999999998</v>
      </c>
      <c r="H134">
        <v>2023</v>
      </c>
      <c r="I134" t="s">
        <v>1062</v>
      </c>
      <c r="J134" t="s">
        <v>1088</v>
      </c>
      <c r="K134">
        <v>2</v>
      </c>
      <c r="L134" t="s">
        <v>1052</v>
      </c>
      <c r="M134">
        <v>4</v>
      </c>
    </row>
    <row r="135" spans="1:13" x14ac:dyDescent="0.3">
      <c r="A135" t="s">
        <v>418</v>
      </c>
      <c r="B135" t="s">
        <v>19</v>
      </c>
      <c r="C135">
        <v>36</v>
      </c>
      <c r="D135" t="s">
        <v>13</v>
      </c>
      <c r="E135" s="32">
        <v>45037</v>
      </c>
      <c r="F135">
        <v>81</v>
      </c>
      <c r="G135">
        <v>3.7</v>
      </c>
      <c r="H135">
        <v>2023</v>
      </c>
      <c r="I135" t="s">
        <v>1062</v>
      </c>
      <c r="J135" t="s">
        <v>1088</v>
      </c>
      <c r="K135">
        <v>4</v>
      </c>
      <c r="L135" t="s">
        <v>1052</v>
      </c>
      <c r="M135">
        <v>4</v>
      </c>
    </row>
    <row r="136" spans="1:13" x14ac:dyDescent="0.3">
      <c r="A136" t="s">
        <v>423</v>
      </c>
      <c r="B136" t="s">
        <v>5</v>
      </c>
      <c r="C136">
        <v>53</v>
      </c>
      <c r="D136" t="s">
        <v>11</v>
      </c>
      <c r="E136" s="32">
        <v>45038</v>
      </c>
      <c r="F136">
        <v>110</v>
      </c>
      <c r="G136">
        <v>4.3</v>
      </c>
      <c r="H136">
        <v>2023</v>
      </c>
      <c r="I136" t="s">
        <v>1064</v>
      </c>
      <c r="J136" t="s">
        <v>1088</v>
      </c>
      <c r="K136">
        <v>4</v>
      </c>
      <c r="L136" t="s">
        <v>1052</v>
      </c>
      <c r="M136">
        <v>4</v>
      </c>
    </row>
    <row r="137" spans="1:13" x14ac:dyDescent="0.3">
      <c r="A137" t="s">
        <v>425</v>
      </c>
      <c r="B137" t="s">
        <v>5</v>
      </c>
      <c r="C137">
        <v>89</v>
      </c>
      <c r="D137" t="s">
        <v>13</v>
      </c>
      <c r="E137" s="32">
        <v>45038</v>
      </c>
      <c r="F137">
        <v>129</v>
      </c>
      <c r="G137">
        <v>4</v>
      </c>
      <c r="H137">
        <v>2023</v>
      </c>
      <c r="I137" t="s">
        <v>1064</v>
      </c>
      <c r="J137" t="s">
        <v>1087</v>
      </c>
      <c r="K137">
        <v>4</v>
      </c>
      <c r="L137" t="s">
        <v>1052</v>
      </c>
      <c r="M137">
        <v>4</v>
      </c>
    </row>
    <row r="138" spans="1:13" x14ac:dyDescent="0.3">
      <c r="A138" t="s">
        <v>426</v>
      </c>
      <c r="B138" t="s">
        <v>18</v>
      </c>
      <c r="C138">
        <v>84</v>
      </c>
      <c r="D138" t="s">
        <v>10</v>
      </c>
      <c r="E138" s="32">
        <v>45038</v>
      </c>
      <c r="F138">
        <v>156</v>
      </c>
      <c r="G138">
        <v>3.2</v>
      </c>
      <c r="H138">
        <v>2023</v>
      </c>
      <c r="I138" t="s">
        <v>1064</v>
      </c>
      <c r="J138" t="s">
        <v>1087</v>
      </c>
      <c r="K138">
        <v>3</v>
      </c>
      <c r="L138" t="s">
        <v>1052</v>
      </c>
      <c r="M138">
        <v>4</v>
      </c>
    </row>
    <row r="139" spans="1:13" x14ac:dyDescent="0.3">
      <c r="A139" t="s">
        <v>431</v>
      </c>
      <c r="B139" t="s">
        <v>15</v>
      </c>
      <c r="C139">
        <v>88</v>
      </c>
      <c r="D139" t="s">
        <v>6</v>
      </c>
      <c r="E139" s="32">
        <v>45039</v>
      </c>
      <c r="F139">
        <v>72</v>
      </c>
      <c r="G139">
        <v>4</v>
      </c>
      <c r="H139">
        <v>2023</v>
      </c>
      <c r="I139" t="s">
        <v>1065</v>
      </c>
      <c r="J139" t="s">
        <v>1087</v>
      </c>
      <c r="K139">
        <v>4</v>
      </c>
      <c r="L139" t="s">
        <v>1052</v>
      </c>
      <c r="M139">
        <v>4</v>
      </c>
    </row>
    <row r="140" spans="1:13" x14ac:dyDescent="0.3">
      <c r="A140" t="s">
        <v>435</v>
      </c>
      <c r="B140" t="s">
        <v>5</v>
      </c>
      <c r="C140">
        <v>26</v>
      </c>
      <c r="D140" t="s">
        <v>13</v>
      </c>
      <c r="E140" s="32">
        <v>45040</v>
      </c>
      <c r="F140">
        <v>43</v>
      </c>
      <c r="G140">
        <v>4.2</v>
      </c>
      <c r="H140">
        <v>2023</v>
      </c>
      <c r="I140" t="s">
        <v>1063</v>
      </c>
      <c r="J140" t="s">
        <v>1091</v>
      </c>
      <c r="K140">
        <v>4</v>
      </c>
      <c r="L140" t="s">
        <v>1052</v>
      </c>
      <c r="M140">
        <v>4</v>
      </c>
    </row>
    <row r="141" spans="1:13" x14ac:dyDescent="0.3">
      <c r="A141" t="s">
        <v>436</v>
      </c>
      <c r="B141" t="s">
        <v>18</v>
      </c>
      <c r="C141">
        <v>131</v>
      </c>
      <c r="D141" t="s">
        <v>6</v>
      </c>
      <c r="E141" s="32">
        <v>45040</v>
      </c>
      <c r="F141">
        <v>41</v>
      </c>
      <c r="G141">
        <v>4.9000000000000004</v>
      </c>
      <c r="H141">
        <v>2023</v>
      </c>
      <c r="I141" t="s">
        <v>1063</v>
      </c>
      <c r="J141" t="s">
        <v>1089</v>
      </c>
      <c r="K141">
        <v>5</v>
      </c>
      <c r="L141" t="s">
        <v>1052</v>
      </c>
      <c r="M141">
        <v>4</v>
      </c>
    </row>
    <row r="142" spans="1:13" x14ac:dyDescent="0.3">
      <c r="A142" t="s">
        <v>445</v>
      </c>
      <c r="B142" t="s">
        <v>15</v>
      </c>
      <c r="C142">
        <v>126</v>
      </c>
      <c r="D142" t="s">
        <v>11</v>
      </c>
      <c r="E142" s="32">
        <v>45042</v>
      </c>
      <c r="F142">
        <v>175</v>
      </c>
      <c r="G142">
        <v>4.8</v>
      </c>
      <c r="H142">
        <v>2023</v>
      </c>
      <c r="I142" t="s">
        <v>1068</v>
      </c>
      <c r="J142" t="s">
        <v>1089</v>
      </c>
      <c r="K142">
        <v>5</v>
      </c>
      <c r="L142" t="s">
        <v>1052</v>
      </c>
      <c r="M142">
        <v>4</v>
      </c>
    </row>
    <row r="143" spans="1:13" x14ac:dyDescent="0.3">
      <c r="A143" t="s">
        <v>451</v>
      </c>
      <c r="B143" t="s">
        <v>15</v>
      </c>
      <c r="C143">
        <v>101</v>
      </c>
      <c r="D143" t="s">
        <v>10</v>
      </c>
      <c r="E143" s="32">
        <v>45043</v>
      </c>
      <c r="F143">
        <v>225</v>
      </c>
      <c r="G143">
        <v>1.9</v>
      </c>
      <c r="H143">
        <v>2023</v>
      </c>
      <c r="I143" t="s">
        <v>1066</v>
      </c>
      <c r="J143" t="s">
        <v>1087</v>
      </c>
      <c r="K143">
        <v>2</v>
      </c>
      <c r="L143" t="s">
        <v>1052</v>
      </c>
      <c r="M143">
        <v>4</v>
      </c>
    </row>
    <row r="144" spans="1:13" x14ac:dyDescent="0.3">
      <c r="A144" t="s">
        <v>456</v>
      </c>
      <c r="B144" t="s">
        <v>15</v>
      </c>
      <c r="C144">
        <v>81</v>
      </c>
      <c r="D144" t="s">
        <v>9</v>
      </c>
      <c r="E144" s="32">
        <v>45045</v>
      </c>
      <c r="F144">
        <v>78</v>
      </c>
      <c r="G144">
        <v>2.9</v>
      </c>
      <c r="H144">
        <v>2023</v>
      </c>
      <c r="I144" t="s">
        <v>1064</v>
      </c>
      <c r="J144" t="s">
        <v>1087</v>
      </c>
      <c r="K144">
        <v>3</v>
      </c>
      <c r="L144" t="s">
        <v>1052</v>
      </c>
      <c r="M144">
        <v>4</v>
      </c>
    </row>
    <row r="145" spans="1:13" x14ac:dyDescent="0.3">
      <c r="A145" t="s">
        <v>457</v>
      </c>
      <c r="B145" t="s">
        <v>15</v>
      </c>
      <c r="C145">
        <v>81</v>
      </c>
      <c r="D145" t="s">
        <v>13</v>
      </c>
      <c r="E145" s="32">
        <v>45045</v>
      </c>
      <c r="F145">
        <v>40</v>
      </c>
      <c r="G145">
        <v>2.4</v>
      </c>
      <c r="H145">
        <v>2023</v>
      </c>
      <c r="I145" t="s">
        <v>1064</v>
      </c>
      <c r="J145" t="s">
        <v>1087</v>
      </c>
      <c r="K145">
        <v>2</v>
      </c>
      <c r="L145" t="s">
        <v>1052</v>
      </c>
      <c r="M145">
        <v>4</v>
      </c>
    </row>
    <row r="146" spans="1:13" x14ac:dyDescent="0.3">
      <c r="A146" t="s">
        <v>462</v>
      </c>
      <c r="B146" t="s">
        <v>5</v>
      </c>
      <c r="C146">
        <v>60</v>
      </c>
      <c r="D146" t="s">
        <v>9</v>
      </c>
      <c r="E146" s="32">
        <v>45047</v>
      </c>
      <c r="F146">
        <v>41</v>
      </c>
      <c r="G146">
        <v>4.8</v>
      </c>
      <c r="H146">
        <v>2023</v>
      </c>
      <c r="I146" t="s">
        <v>1063</v>
      </c>
      <c r="J146" t="s">
        <v>1088</v>
      </c>
      <c r="K146">
        <v>5</v>
      </c>
      <c r="L146" t="s">
        <v>1053</v>
      </c>
      <c r="M146">
        <v>5</v>
      </c>
    </row>
    <row r="147" spans="1:13" x14ac:dyDescent="0.3">
      <c r="A147" t="s">
        <v>463</v>
      </c>
      <c r="B147" t="s">
        <v>14</v>
      </c>
      <c r="C147">
        <v>137</v>
      </c>
      <c r="D147" t="s">
        <v>11</v>
      </c>
      <c r="E147" s="32">
        <v>45047</v>
      </c>
      <c r="F147">
        <v>20</v>
      </c>
      <c r="G147">
        <v>4.2</v>
      </c>
      <c r="H147">
        <v>2023</v>
      </c>
      <c r="I147" t="s">
        <v>1063</v>
      </c>
      <c r="J147" t="s">
        <v>1089</v>
      </c>
      <c r="K147">
        <v>4</v>
      </c>
      <c r="L147" t="s">
        <v>1053</v>
      </c>
      <c r="M147">
        <v>5</v>
      </c>
    </row>
    <row r="148" spans="1:13" x14ac:dyDescent="0.3">
      <c r="A148" t="s">
        <v>466</v>
      </c>
      <c r="B148" t="s">
        <v>19</v>
      </c>
      <c r="C148">
        <v>73</v>
      </c>
      <c r="D148" t="s">
        <v>9</v>
      </c>
      <c r="E148" s="32">
        <v>45047</v>
      </c>
      <c r="F148">
        <v>66</v>
      </c>
      <c r="G148">
        <v>4.8</v>
      </c>
      <c r="H148">
        <v>2023</v>
      </c>
      <c r="I148" t="s">
        <v>1063</v>
      </c>
      <c r="J148" t="s">
        <v>1087</v>
      </c>
      <c r="K148">
        <v>5</v>
      </c>
      <c r="L148" t="s">
        <v>1053</v>
      </c>
      <c r="M148">
        <v>5</v>
      </c>
    </row>
    <row r="149" spans="1:13" x14ac:dyDescent="0.3">
      <c r="A149" t="s">
        <v>467</v>
      </c>
      <c r="B149" t="s">
        <v>18</v>
      </c>
      <c r="C149">
        <v>119</v>
      </c>
      <c r="D149" t="s">
        <v>11</v>
      </c>
      <c r="E149" s="32">
        <v>45047</v>
      </c>
      <c r="F149">
        <v>105</v>
      </c>
      <c r="G149">
        <v>4.7</v>
      </c>
      <c r="H149">
        <v>2023</v>
      </c>
      <c r="I149" t="s">
        <v>1063</v>
      </c>
      <c r="J149" t="s">
        <v>1087</v>
      </c>
      <c r="K149">
        <v>5</v>
      </c>
      <c r="L149" t="s">
        <v>1053</v>
      </c>
      <c r="M149">
        <v>5</v>
      </c>
    </row>
    <row r="150" spans="1:13" x14ac:dyDescent="0.3">
      <c r="A150" t="s">
        <v>469</v>
      </c>
      <c r="B150" t="s">
        <v>14</v>
      </c>
      <c r="C150">
        <v>41</v>
      </c>
      <c r="D150" t="s">
        <v>6</v>
      </c>
      <c r="E150" s="32">
        <v>45048</v>
      </c>
      <c r="F150">
        <v>123</v>
      </c>
      <c r="G150">
        <v>3.2</v>
      </c>
      <c r="H150">
        <v>2023</v>
      </c>
      <c r="I150" t="s">
        <v>1067</v>
      </c>
      <c r="J150" t="s">
        <v>1088</v>
      </c>
      <c r="K150">
        <v>3</v>
      </c>
      <c r="L150" t="s">
        <v>1053</v>
      </c>
      <c r="M150">
        <v>5</v>
      </c>
    </row>
    <row r="151" spans="1:13" x14ac:dyDescent="0.3">
      <c r="A151" t="s">
        <v>475</v>
      </c>
      <c r="B151" t="s">
        <v>5</v>
      </c>
      <c r="C151">
        <v>111</v>
      </c>
      <c r="D151" t="s">
        <v>11</v>
      </c>
      <c r="E151" s="32">
        <v>45050</v>
      </c>
      <c r="F151">
        <v>90</v>
      </c>
      <c r="G151">
        <v>2.8</v>
      </c>
      <c r="H151">
        <v>2023</v>
      </c>
      <c r="I151" t="s">
        <v>1066</v>
      </c>
      <c r="J151" t="s">
        <v>1087</v>
      </c>
      <c r="K151">
        <v>3</v>
      </c>
      <c r="L151" t="s">
        <v>1053</v>
      </c>
      <c r="M151">
        <v>5</v>
      </c>
    </row>
    <row r="152" spans="1:13" x14ac:dyDescent="0.3">
      <c r="A152" t="s">
        <v>478</v>
      </c>
      <c r="B152" t="s">
        <v>5</v>
      </c>
      <c r="C152">
        <v>143</v>
      </c>
      <c r="D152" t="s">
        <v>13</v>
      </c>
      <c r="E152" s="32">
        <v>45052</v>
      </c>
      <c r="F152">
        <v>54</v>
      </c>
      <c r="G152">
        <v>4.4000000000000004</v>
      </c>
      <c r="H152">
        <v>2023</v>
      </c>
      <c r="I152" t="s">
        <v>1064</v>
      </c>
      <c r="J152" t="s">
        <v>1089</v>
      </c>
      <c r="K152">
        <v>4</v>
      </c>
      <c r="L152" t="s">
        <v>1053</v>
      </c>
      <c r="M152">
        <v>5</v>
      </c>
    </row>
    <row r="153" spans="1:13" x14ac:dyDescent="0.3">
      <c r="A153" t="s">
        <v>480</v>
      </c>
      <c r="B153" t="s">
        <v>19</v>
      </c>
      <c r="C153">
        <v>137</v>
      </c>
      <c r="D153" t="s">
        <v>13</v>
      </c>
      <c r="E153" s="32">
        <v>45053</v>
      </c>
      <c r="F153">
        <v>44</v>
      </c>
      <c r="G153">
        <v>4.7</v>
      </c>
      <c r="H153">
        <v>2023</v>
      </c>
      <c r="I153" t="s">
        <v>1065</v>
      </c>
      <c r="J153" t="s">
        <v>1089</v>
      </c>
      <c r="K153">
        <v>5</v>
      </c>
      <c r="L153" t="s">
        <v>1053</v>
      </c>
      <c r="M153">
        <v>5</v>
      </c>
    </row>
    <row r="154" spans="1:13" x14ac:dyDescent="0.3">
      <c r="A154" t="s">
        <v>484</v>
      </c>
      <c r="B154" t="s">
        <v>19</v>
      </c>
      <c r="C154">
        <v>73</v>
      </c>
      <c r="D154" t="s">
        <v>10</v>
      </c>
      <c r="E154" s="32">
        <v>45054</v>
      </c>
      <c r="F154">
        <v>87</v>
      </c>
      <c r="G154">
        <v>3.6</v>
      </c>
      <c r="H154">
        <v>2023</v>
      </c>
      <c r="I154" t="s">
        <v>1063</v>
      </c>
      <c r="J154" t="s">
        <v>1087</v>
      </c>
      <c r="K154">
        <v>4</v>
      </c>
      <c r="L154" t="s">
        <v>1053</v>
      </c>
      <c r="M154">
        <v>5</v>
      </c>
    </row>
    <row r="155" spans="1:13" x14ac:dyDescent="0.3">
      <c r="A155" t="s">
        <v>488</v>
      </c>
      <c r="B155" t="s">
        <v>5</v>
      </c>
      <c r="C155">
        <v>89</v>
      </c>
      <c r="D155" t="s">
        <v>13</v>
      </c>
      <c r="E155" s="32">
        <v>45056</v>
      </c>
      <c r="F155">
        <v>176</v>
      </c>
      <c r="G155">
        <v>4.5</v>
      </c>
      <c r="H155">
        <v>2023</v>
      </c>
      <c r="I155" t="s">
        <v>1068</v>
      </c>
      <c r="J155" t="s">
        <v>1087</v>
      </c>
      <c r="K155">
        <v>5</v>
      </c>
      <c r="L155" t="s">
        <v>1053</v>
      </c>
      <c r="M155">
        <v>5</v>
      </c>
    </row>
    <row r="156" spans="1:13" x14ac:dyDescent="0.3">
      <c r="A156" t="s">
        <v>489</v>
      </c>
      <c r="B156" t="s">
        <v>18</v>
      </c>
      <c r="C156">
        <v>54</v>
      </c>
      <c r="D156" t="s">
        <v>11</v>
      </c>
      <c r="E156" s="32">
        <v>45057</v>
      </c>
      <c r="F156">
        <v>31</v>
      </c>
      <c r="G156">
        <v>3.3</v>
      </c>
      <c r="H156">
        <v>2023</v>
      </c>
      <c r="I156" t="s">
        <v>1066</v>
      </c>
      <c r="J156" t="s">
        <v>1088</v>
      </c>
      <c r="K156">
        <v>3</v>
      </c>
      <c r="L156" t="s">
        <v>1053</v>
      </c>
      <c r="M156">
        <v>5</v>
      </c>
    </row>
    <row r="157" spans="1:13" x14ac:dyDescent="0.3">
      <c r="A157" t="s">
        <v>491</v>
      </c>
      <c r="B157" t="s">
        <v>14</v>
      </c>
      <c r="C157">
        <v>91</v>
      </c>
      <c r="D157" t="s">
        <v>13</v>
      </c>
      <c r="E157" s="32">
        <v>45058</v>
      </c>
      <c r="F157">
        <v>76</v>
      </c>
      <c r="G157">
        <v>4.9000000000000004</v>
      </c>
      <c r="H157">
        <v>2023</v>
      </c>
      <c r="I157" t="s">
        <v>1062</v>
      </c>
      <c r="J157" t="s">
        <v>1087</v>
      </c>
      <c r="K157">
        <v>5</v>
      </c>
      <c r="L157" t="s">
        <v>1053</v>
      </c>
      <c r="M157">
        <v>5</v>
      </c>
    </row>
    <row r="158" spans="1:13" x14ac:dyDescent="0.3">
      <c r="A158" t="s">
        <v>493</v>
      </c>
      <c r="B158" t="s">
        <v>14</v>
      </c>
      <c r="C158">
        <v>81</v>
      </c>
      <c r="D158" t="s">
        <v>9</v>
      </c>
      <c r="E158" s="32">
        <v>45060</v>
      </c>
      <c r="F158">
        <v>100</v>
      </c>
      <c r="G158">
        <v>1.3</v>
      </c>
      <c r="H158">
        <v>2023</v>
      </c>
      <c r="I158" t="s">
        <v>1065</v>
      </c>
      <c r="J158" t="s">
        <v>1087</v>
      </c>
      <c r="K158">
        <v>1</v>
      </c>
      <c r="L158" t="s">
        <v>1053</v>
      </c>
      <c r="M158">
        <v>5</v>
      </c>
    </row>
    <row r="159" spans="1:13" x14ac:dyDescent="0.3">
      <c r="A159" t="s">
        <v>496</v>
      </c>
      <c r="B159" t="s">
        <v>15</v>
      </c>
      <c r="C159">
        <v>56</v>
      </c>
      <c r="D159" t="s">
        <v>13</v>
      </c>
      <c r="E159" s="32">
        <v>45061</v>
      </c>
      <c r="F159">
        <v>200</v>
      </c>
      <c r="G159">
        <v>4.5999999999999996</v>
      </c>
      <c r="H159">
        <v>2023</v>
      </c>
      <c r="I159" t="s">
        <v>1063</v>
      </c>
      <c r="J159" t="s">
        <v>1088</v>
      </c>
      <c r="K159">
        <v>5</v>
      </c>
      <c r="L159" t="s">
        <v>1053</v>
      </c>
      <c r="M159">
        <v>5</v>
      </c>
    </row>
    <row r="160" spans="1:13" x14ac:dyDescent="0.3">
      <c r="A160" t="s">
        <v>498</v>
      </c>
      <c r="B160" t="s">
        <v>5</v>
      </c>
      <c r="C160">
        <v>51</v>
      </c>
      <c r="D160" t="s">
        <v>13</v>
      </c>
      <c r="E160" s="32">
        <v>45062</v>
      </c>
      <c r="F160">
        <v>117</v>
      </c>
      <c r="G160">
        <v>2.7</v>
      </c>
      <c r="H160">
        <v>2023</v>
      </c>
      <c r="I160" t="s">
        <v>1067</v>
      </c>
      <c r="J160" t="s">
        <v>1088</v>
      </c>
      <c r="K160">
        <v>3</v>
      </c>
      <c r="L160" t="s">
        <v>1053</v>
      </c>
      <c r="M160">
        <v>5</v>
      </c>
    </row>
    <row r="161" spans="1:13" x14ac:dyDescent="0.3">
      <c r="A161" t="s">
        <v>501</v>
      </c>
      <c r="B161" t="s">
        <v>5</v>
      </c>
      <c r="C161">
        <v>139</v>
      </c>
      <c r="D161" t="s">
        <v>11</v>
      </c>
      <c r="E161" s="32">
        <v>45063</v>
      </c>
      <c r="F161">
        <v>220</v>
      </c>
      <c r="G161">
        <v>3.2</v>
      </c>
      <c r="H161">
        <v>2023</v>
      </c>
      <c r="I161" t="s">
        <v>1068</v>
      </c>
      <c r="J161" t="s">
        <v>1089</v>
      </c>
      <c r="K161">
        <v>3</v>
      </c>
      <c r="L161" t="s">
        <v>1053</v>
      </c>
      <c r="M161">
        <v>5</v>
      </c>
    </row>
    <row r="162" spans="1:13" x14ac:dyDescent="0.3">
      <c r="A162" t="s">
        <v>504</v>
      </c>
      <c r="B162" t="s">
        <v>18</v>
      </c>
      <c r="C162">
        <v>19</v>
      </c>
      <c r="D162" t="s">
        <v>6</v>
      </c>
      <c r="E162" s="32">
        <v>45064</v>
      </c>
      <c r="F162">
        <v>132</v>
      </c>
      <c r="G162">
        <v>4.3</v>
      </c>
      <c r="H162">
        <v>2023</v>
      </c>
      <c r="I162" t="s">
        <v>1066</v>
      </c>
      <c r="J162" t="s">
        <v>1091</v>
      </c>
      <c r="K162">
        <v>4</v>
      </c>
      <c r="L162" t="s">
        <v>1053</v>
      </c>
      <c r="M162">
        <v>5</v>
      </c>
    </row>
    <row r="163" spans="1:13" x14ac:dyDescent="0.3">
      <c r="A163" t="s">
        <v>511</v>
      </c>
      <c r="B163" t="s">
        <v>18</v>
      </c>
      <c r="C163">
        <v>64</v>
      </c>
      <c r="D163" t="s">
        <v>6</v>
      </c>
      <c r="E163" s="32">
        <v>45068</v>
      </c>
      <c r="F163">
        <v>132</v>
      </c>
      <c r="G163">
        <v>3.3</v>
      </c>
      <c r="H163">
        <v>2023</v>
      </c>
      <c r="I163" t="s">
        <v>1063</v>
      </c>
      <c r="J163" t="s">
        <v>1087</v>
      </c>
      <c r="K163">
        <v>3</v>
      </c>
      <c r="L163" t="s">
        <v>1053</v>
      </c>
      <c r="M163">
        <v>5</v>
      </c>
    </row>
    <row r="164" spans="1:13" x14ac:dyDescent="0.3">
      <c r="A164" t="s">
        <v>516</v>
      </c>
      <c r="B164" t="s">
        <v>5</v>
      </c>
      <c r="C164">
        <v>63</v>
      </c>
      <c r="D164" t="s">
        <v>13</v>
      </c>
      <c r="E164" s="32">
        <v>45069</v>
      </c>
      <c r="F164">
        <v>80</v>
      </c>
      <c r="G164">
        <v>2.5</v>
      </c>
      <c r="H164">
        <v>2023</v>
      </c>
      <c r="I164" t="s">
        <v>1067</v>
      </c>
      <c r="J164" t="s">
        <v>1087</v>
      </c>
      <c r="K164">
        <v>3</v>
      </c>
      <c r="L164" t="s">
        <v>1053</v>
      </c>
      <c r="M164">
        <v>5</v>
      </c>
    </row>
    <row r="165" spans="1:13" x14ac:dyDescent="0.3">
      <c r="A165" t="s">
        <v>517</v>
      </c>
      <c r="B165" t="s">
        <v>18</v>
      </c>
      <c r="C165">
        <v>59</v>
      </c>
      <c r="D165" t="s">
        <v>10</v>
      </c>
      <c r="E165" s="32">
        <v>45070</v>
      </c>
      <c r="F165">
        <v>123</v>
      </c>
      <c r="G165">
        <v>3.6</v>
      </c>
      <c r="H165">
        <v>2023</v>
      </c>
      <c r="I165" t="s">
        <v>1068</v>
      </c>
      <c r="J165" t="s">
        <v>1088</v>
      </c>
      <c r="K165">
        <v>4</v>
      </c>
      <c r="L165" t="s">
        <v>1053</v>
      </c>
      <c r="M165">
        <v>5</v>
      </c>
    </row>
    <row r="166" spans="1:13" x14ac:dyDescent="0.3">
      <c r="A166" t="s">
        <v>520</v>
      </c>
      <c r="B166" t="s">
        <v>14</v>
      </c>
      <c r="C166">
        <v>151</v>
      </c>
      <c r="D166" t="s">
        <v>13</v>
      </c>
      <c r="E166" s="32">
        <v>45071</v>
      </c>
      <c r="F166">
        <v>123</v>
      </c>
      <c r="G166">
        <v>3.7</v>
      </c>
      <c r="H166">
        <v>2023</v>
      </c>
      <c r="I166" t="s">
        <v>1066</v>
      </c>
      <c r="J166" t="s">
        <v>1089</v>
      </c>
      <c r="K166">
        <v>4</v>
      </c>
      <c r="L166" t="s">
        <v>1053</v>
      </c>
      <c r="M166">
        <v>5</v>
      </c>
    </row>
    <row r="167" spans="1:13" x14ac:dyDescent="0.3">
      <c r="A167" t="s">
        <v>522</v>
      </c>
      <c r="B167" t="s">
        <v>5</v>
      </c>
      <c r="C167">
        <v>148</v>
      </c>
      <c r="D167" t="s">
        <v>6</v>
      </c>
      <c r="E167" s="32">
        <v>45071</v>
      </c>
      <c r="F167">
        <v>36</v>
      </c>
      <c r="G167">
        <v>2.9</v>
      </c>
      <c r="H167">
        <v>2023</v>
      </c>
      <c r="I167" t="s">
        <v>1066</v>
      </c>
      <c r="J167" t="s">
        <v>1089</v>
      </c>
      <c r="K167">
        <v>3</v>
      </c>
      <c r="L167" t="s">
        <v>1053</v>
      </c>
      <c r="M167">
        <v>5</v>
      </c>
    </row>
    <row r="168" spans="1:13" x14ac:dyDescent="0.3">
      <c r="A168" t="s">
        <v>523</v>
      </c>
      <c r="B168" t="s">
        <v>14</v>
      </c>
      <c r="C168">
        <v>81</v>
      </c>
      <c r="D168" t="s">
        <v>6</v>
      </c>
      <c r="E168" s="32">
        <v>45071</v>
      </c>
      <c r="F168">
        <v>116</v>
      </c>
      <c r="G168">
        <v>4.3</v>
      </c>
      <c r="H168">
        <v>2023</v>
      </c>
      <c r="I168" t="s">
        <v>1066</v>
      </c>
      <c r="J168" t="s">
        <v>1087</v>
      </c>
      <c r="K168">
        <v>4</v>
      </c>
      <c r="L168" t="s">
        <v>1053</v>
      </c>
      <c r="M168">
        <v>5</v>
      </c>
    </row>
    <row r="169" spans="1:13" x14ac:dyDescent="0.3">
      <c r="A169" t="s">
        <v>530</v>
      </c>
      <c r="B169" t="s">
        <v>18</v>
      </c>
      <c r="C169">
        <v>43</v>
      </c>
      <c r="D169" t="s">
        <v>11</v>
      </c>
      <c r="E169" s="32">
        <v>45072</v>
      </c>
      <c r="F169">
        <v>37</v>
      </c>
      <c r="G169">
        <v>4.9000000000000004</v>
      </c>
      <c r="H169">
        <v>2023</v>
      </c>
      <c r="I169" t="s">
        <v>1062</v>
      </c>
      <c r="J169" t="s">
        <v>1088</v>
      </c>
      <c r="K169">
        <v>5</v>
      </c>
      <c r="L169" t="s">
        <v>1053</v>
      </c>
      <c r="M169">
        <v>5</v>
      </c>
    </row>
    <row r="170" spans="1:13" x14ac:dyDescent="0.3">
      <c r="A170" t="s">
        <v>534</v>
      </c>
      <c r="B170" t="s">
        <v>14</v>
      </c>
      <c r="C170">
        <v>40</v>
      </c>
      <c r="D170" t="s">
        <v>10</v>
      </c>
      <c r="E170" s="32">
        <v>45074</v>
      </c>
      <c r="F170">
        <v>116</v>
      </c>
      <c r="G170">
        <v>2.6</v>
      </c>
      <c r="H170">
        <v>2023</v>
      </c>
      <c r="I170" t="s">
        <v>1065</v>
      </c>
      <c r="J170" t="s">
        <v>1088</v>
      </c>
      <c r="K170">
        <v>3</v>
      </c>
      <c r="L170" t="s">
        <v>1053</v>
      </c>
      <c r="M170">
        <v>5</v>
      </c>
    </row>
    <row r="171" spans="1:13" x14ac:dyDescent="0.3">
      <c r="A171" t="s">
        <v>535</v>
      </c>
      <c r="B171" t="s">
        <v>18</v>
      </c>
      <c r="C171">
        <v>122</v>
      </c>
      <c r="D171" t="s">
        <v>6</v>
      </c>
      <c r="E171" s="32">
        <v>45074</v>
      </c>
      <c r="F171">
        <v>45</v>
      </c>
      <c r="G171">
        <v>4.2</v>
      </c>
      <c r="H171">
        <v>2023</v>
      </c>
      <c r="I171" t="s">
        <v>1065</v>
      </c>
      <c r="J171" t="s">
        <v>1089</v>
      </c>
      <c r="K171">
        <v>4</v>
      </c>
      <c r="L171" t="s">
        <v>1053</v>
      </c>
      <c r="M171">
        <v>5</v>
      </c>
    </row>
    <row r="172" spans="1:13" x14ac:dyDescent="0.3">
      <c r="A172" t="s">
        <v>539</v>
      </c>
      <c r="B172" t="s">
        <v>18</v>
      </c>
      <c r="C172">
        <v>134</v>
      </c>
      <c r="D172" t="s">
        <v>6</v>
      </c>
      <c r="E172" s="32">
        <v>45076</v>
      </c>
      <c r="F172">
        <v>120</v>
      </c>
      <c r="G172">
        <v>3</v>
      </c>
      <c r="H172">
        <v>2023</v>
      </c>
      <c r="I172" t="s">
        <v>1067</v>
      </c>
      <c r="J172" t="s">
        <v>1089</v>
      </c>
      <c r="K172">
        <v>3</v>
      </c>
      <c r="L172" t="s">
        <v>1053</v>
      </c>
      <c r="M172">
        <v>5</v>
      </c>
    </row>
    <row r="173" spans="1:13" x14ac:dyDescent="0.3">
      <c r="A173" t="s">
        <v>540</v>
      </c>
      <c r="B173" t="s">
        <v>19</v>
      </c>
      <c r="C173">
        <v>94</v>
      </c>
      <c r="D173" t="s">
        <v>9</v>
      </c>
      <c r="E173" s="32">
        <v>45076</v>
      </c>
      <c r="F173">
        <v>180</v>
      </c>
      <c r="G173">
        <v>4.7</v>
      </c>
      <c r="H173">
        <v>2023</v>
      </c>
      <c r="I173" t="s">
        <v>1067</v>
      </c>
      <c r="J173" t="s">
        <v>1087</v>
      </c>
      <c r="K173">
        <v>5</v>
      </c>
      <c r="L173" t="s">
        <v>1053</v>
      </c>
      <c r="M173">
        <v>5</v>
      </c>
    </row>
    <row r="174" spans="1:13" x14ac:dyDescent="0.3">
      <c r="A174" t="s">
        <v>541</v>
      </c>
      <c r="B174" t="s">
        <v>15</v>
      </c>
      <c r="C174">
        <v>63</v>
      </c>
      <c r="D174" t="s">
        <v>10</v>
      </c>
      <c r="E174" s="32">
        <v>45076</v>
      </c>
      <c r="F174">
        <v>44</v>
      </c>
      <c r="G174">
        <v>3</v>
      </c>
      <c r="H174">
        <v>2023</v>
      </c>
      <c r="I174" t="s">
        <v>1067</v>
      </c>
      <c r="J174" t="s">
        <v>1087</v>
      </c>
      <c r="K174">
        <v>3</v>
      </c>
      <c r="L174" t="s">
        <v>1053</v>
      </c>
      <c r="M174">
        <v>5</v>
      </c>
    </row>
    <row r="175" spans="1:13" x14ac:dyDescent="0.3">
      <c r="A175" t="s">
        <v>543</v>
      </c>
      <c r="B175" t="s">
        <v>18</v>
      </c>
      <c r="C175">
        <v>106</v>
      </c>
      <c r="D175" t="s">
        <v>6</v>
      </c>
      <c r="E175" s="32">
        <v>45077</v>
      </c>
      <c r="F175">
        <v>120</v>
      </c>
      <c r="G175">
        <v>4.0999999999999996</v>
      </c>
      <c r="H175">
        <v>2023</v>
      </c>
      <c r="I175" t="s">
        <v>1068</v>
      </c>
      <c r="J175" t="s">
        <v>1087</v>
      </c>
      <c r="K175">
        <v>4</v>
      </c>
      <c r="L175" t="s">
        <v>1053</v>
      </c>
      <c r="M175">
        <v>5</v>
      </c>
    </row>
    <row r="176" spans="1:13" x14ac:dyDescent="0.3">
      <c r="A176" t="s">
        <v>546</v>
      </c>
      <c r="B176" t="s">
        <v>5</v>
      </c>
      <c r="C176">
        <v>39</v>
      </c>
      <c r="D176" t="s">
        <v>9</v>
      </c>
      <c r="E176" s="32">
        <v>45078</v>
      </c>
      <c r="F176">
        <v>46</v>
      </c>
      <c r="G176">
        <v>4.5999999999999996</v>
      </c>
      <c r="H176">
        <v>2023</v>
      </c>
      <c r="I176" t="s">
        <v>1066</v>
      </c>
      <c r="J176" t="s">
        <v>1088</v>
      </c>
      <c r="K176">
        <v>5</v>
      </c>
      <c r="L176" t="s">
        <v>1054</v>
      </c>
      <c r="M176">
        <v>6</v>
      </c>
    </row>
    <row r="177" spans="1:13" x14ac:dyDescent="0.3">
      <c r="A177" t="s">
        <v>547</v>
      </c>
      <c r="B177" t="s">
        <v>14</v>
      </c>
      <c r="C177">
        <v>111</v>
      </c>
      <c r="D177" t="s">
        <v>6</v>
      </c>
      <c r="E177" s="32">
        <v>45078</v>
      </c>
      <c r="F177">
        <v>210</v>
      </c>
      <c r="G177">
        <v>4.3</v>
      </c>
      <c r="H177">
        <v>2023</v>
      </c>
      <c r="I177" t="s">
        <v>1066</v>
      </c>
      <c r="J177" t="s">
        <v>1087</v>
      </c>
      <c r="K177">
        <v>4</v>
      </c>
      <c r="L177" t="s">
        <v>1054</v>
      </c>
      <c r="M177">
        <v>6</v>
      </c>
    </row>
    <row r="178" spans="1:13" x14ac:dyDescent="0.3">
      <c r="A178" t="s">
        <v>549</v>
      </c>
      <c r="B178" t="s">
        <v>15</v>
      </c>
      <c r="C178">
        <v>147</v>
      </c>
      <c r="D178" t="s">
        <v>6</v>
      </c>
      <c r="E178" s="32">
        <v>45080</v>
      </c>
      <c r="F178">
        <v>115</v>
      </c>
      <c r="G178">
        <v>4.7</v>
      </c>
      <c r="H178">
        <v>2023</v>
      </c>
      <c r="I178" t="s">
        <v>1064</v>
      </c>
      <c r="J178" t="s">
        <v>1089</v>
      </c>
      <c r="K178">
        <v>5</v>
      </c>
      <c r="L178" t="s">
        <v>1054</v>
      </c>
      <c r="M178">
        <v>6</v>
      </c>
    </row>
    <row r="179" spans="1:13" x14ac:dyDescent="0.3">
      <c r="A179" t="s">
        <v>550</v>
      </c>
      <c r="B179" t="s">
        <v>19</v>
      </c>
      <c r="C179">
        <v>49</v>
      </c>
      <c r="D179" t="s">
        <v>9</v>
      </c>
      <c r="E179" s="32">
        <v>45081</v>
      </c>
      <c r="F179">
        <v>100</v>
      </c>
      <c r="G179">
        <v>2.2000000000000002</v>
      </c>
      <c r="H179">
        <v>2023</v>
      </c>
      <c r="I179" t="s">
        <v>1065</v>
      </c>
      <c r="J179" t="s">
        <v>1088</v>
      </c>
      <c r="K179">
        <v>2</v>
      </c>
      <c r="L179" t="s">
        <v>1054</v>
      </c>
      <c r="M179">
        <v>6</v>
      </c>
    </row>
    <row r="180" spans="1:13" x14ac:dyDescent="0.3">
      <c r="A180" t="s">
        <v>559</v>
      </c>
      <c r="B180" t="s">
        <v>14</v>
      </c>
      <c r="C180">
        <v>125</v>
      </c>
      <c r="D180" t="s">
        <v>10</v>
      </c>
      <c r="E180" s="32">
        <v>45086</v>
      </c>
      <c r="F180">
        <v>87</v>
      </c>
      <c r="G180">
        <v>4.0999999999999996</v>
      </c>
      <c r="H180">
        <v>2023</v>
      </c>
      <c r="I180" t="s">
        <v>1062</v>
      </c>
      <c r="J180" t="s">
        <v>1089</v>
      </c>
      <c r="K180">
        <v>4</v>
      </c>
      <c r="L180" t="s">
        <v>1054</v>
      </c>
      <c r="M180">
        <v>6</v>
      </c>
    </row>
    <row r="181" spans="1:13" x14ac:dyDescent="0.3">
      <c r="A181" t="s">
        <v>560</v>
      </c>
      <c r="B181" t="s">
        <v>18</v>
      </c>
      <c r="C181">
        <v>147</v>
      </c>
      <c r="D181" t="s">
        <v>6</v>
      </c>
      <c r="E181" s="32">
        <v>45086</v>
      </c>
      <c r="F181">
        <v>140</v>
      </c>
      <c r="G181">
        <v>4.2</v>
      </c>
      <c r="H181">
        <v>2023</v>
      </c>
      <c r="I181" t="s">
        <v>1062</v>
      </c>
      <c r="J181" t="s">
        <v>1089</v>
      </c>
      <c r="K181">
        <v>4</v>
      </c>
      <c r="L181" t="s">
        <v>1054</v>
      </c>
      <c r="M181">
        <v>6</v>
      </c>
    </row>
    <row r="182" spans="1:13" x14ac:dyDescent="0.3">
      <c r="A182" t="s">
        <v>562</v>
      </c>
      <c r="B182" t="s">
        <v>15</v>
      </c>
      <c r="C182">
        <v>99</v>
      </c>
      <c r="D182" t="s">
        <v>11</v>
      </c>
      <c r="E182" s="32">
        <v>45087</v>
      </c>
      <c r="F182">
        <v>180</v>
      </c>
      <c r="G182">
        <v>3.8</v>
      </c>
      <c r="H182">
        <v>2023</v>
      </c>
      <c r="I182" t="s">
        <v>1064</v>
      </c>
      <c r="J182" t="s">
        <v>1087</v>
      </c>
      <c r="K182">
        <v>4</v>
      </c>
      <c r="L182" t="s">
        <v>1054</v>
      </c>
      <c r="M182">
        <v>6</v>
      </c>
    </row>
    <row r="183" spans="1:13" x14ac:dyDescent="0.3">
      <c r="A183" t="s">
        <v>563</v>
      </c>
      <c r="B183" t="s">
        <v>5</v>
      </c>
      <c r="C183">
        <v>111</v>
      </c>
      <c r="D183" t="s">
        <v>13</v>
      </c>
      <c r="E183" s="32">
        <v>45088</v>
      </c>
      <c r="F183">
        <v>22</v>
      </c>
      <c r="G183">
        <v>4.0999999999999996</v>
      </c>
      <c r="H183">
        <v>2023</v>
      </c>
      <c r="I183" t="s">
        <v>1065</v>
      </c>
      <c r="J183" t="s">
        <v>1087</v>
      </c>
      <c r="K183">
        <v>4</v>
      </c>
      <c r="L183" t="s">
        <v>1054</v>
      </c>
      <c r="M183">
        <v>6</v>
      </c>
    </row>
    <row r="184" spans="1:13" x14ac:dyDescent="0.3">
      <c r="A184" t="s">
        <v>569</v>
      </c>
      <c r="B184" t="s">
        <v>19</v>
      </c>
      <c r="C184">
        <v>158</v>
      </c>
      <c r="D184" t="s">
        <v>11</v>
      </c>
      <c r="E184" s="32">
        <v>45091</v>
      </c>
      <c r="F184">
        <v>190</v>
      </c>
      <c r="G184">
        <v>4</v>
      </c>
      <c r="H184">
        <v>2023</v>
      </c>
      <c r="I184" t="s">
        <v>1068</v>
      </c>
      <c r="J184" t="s">
        <v>1089</v>
      </c>
      <c r="K184">
        <v>4</v>
      </c>
      <c r="L184" t="s">
        <v>1054</v>
      </c>
      <c r="M184">
        <v>6</v>
      </c>
    </row>
    <row r="185" spans="1:13" x14ac:dyDescent="0.3">
      <c r="A185" t="s">
        <v>570</v>
      </c>
      <c r="B185" t="s">
        <v>18</v>
      </c>
      <c r="C185">
        <v>159</v>
      </c>
      <c r="D185" t="s">
        <v>9</v>
      </c>
      <c r="E185" s="32">
        <v>45091</v>
      </c>
      <c r="F185">
        <v>66</v>
      </c>
      <c r="G185">
        <v>3.4</v>
      </c>
      <c r="H185">
        <v>2023</v>
      </c>
      <c r="I185" t="s">
        <v>1068</v>
      </c>
      <c r="J185" t="s">
        <v>1089</v>
      </c>
      <c r="K185">
        <v>3</v>
      </c>
      <c r="L185" t="s">
        <v>1054</v>
      </c>
      <c r="M185">
        <v>6</v>
      </c>
    </row>
    <row r="186" spans="1:13" x14ac:dyDescent="0.3">
      <c r="A186" t="s">
        <v>579</v>
      </c>
      <c r="B186" t="s">
        <v>5</v>
      </c>
      <c r="C186">
        <v>107</v>
      </c>
      <c r="D186" t="s">
        <v>6</v>
      </c>
      <c r="E186" s="32">
        <v>45095</v>
      </c>
      <c r="F186">
        <v>39</v>
      </c>
      <c r="G186">
        <v>4.8</v>
      </c>
      <c r="H186">
        <v>2023</v>
      </c>
      <c r="I186" t="s">
        <v>1065</v>
      </c>
      <c r="J186" t="s">
        <v>1087</v>
      </c>
      <c r="K186">
        <v>5</v>
      </c>
      <c r="L186" t="s">
        <v>1054</v>
      </c>
      <c r="M186">
        <v>6</v>
      </c>
    </row>
    <row r="187" spans="1:13" x14ac:dyDescent="0.3">
      <c r="A187" t="s">
        <v>580</v>
      </c>
      <c r="B187" t="s">
        <v>18</v>
      </c>
      <c r="C187">
        <v>85</v>
      </c>
      <c r="D187" t="s">
        <v>13</v>
      </c>
      <c r="E187" s="32">
        <v>45095</v>
      </c>
      <c r="F187">
        <v>38</v>
      </c>
      <c r="G187">
        <v>4.8</v>
      </c>
      <c r="H187">
        <v>2023</v>
      </c>
      <c r="I187" t="s">
        <v>1065</v>
      </c>
      <c r="J187" t="s">
        <v>1087</v>
      </c>
      <c r="K187">
        <v>5</v>
      </c>
      <c r="L187" t="s">
        <v>1054</v>
      </c>
      <c r="M187">
        <v>6</v>
      </c>
    </row>
    <row r="188" spans="1:13" x14ac:dyDescent="0.3">
      <c r="A188" t="s">
        <v>581</v>
      </c>
      <c r="B188" t="s">
        <v>15</v>
      </c>
      <c r="C188">
        <v>49</v>
      </c>
      <c r="D188" t="s">
        <v>6</v>
      </c>
      <c r="E188" s="32">
        <v>45096</v>
      </c>
      <c r="F188">
        <v>84</v>
      </c>
      <c r="G188">
        <v>2.9</v>
      </c>
      <c r="H188">
        <v>2023</v>
      </c>
      <c r="I188" t="s">
        <v>1063</v>
      </c>
      <c r="J188" t="s">
        <v>1088</v>
      </c>
      <c r="K188">
        <v>3</v>
      </c>
      <c r="L188" t="s">
        <v>1054</v>
      </c>
      <c r="M188">
        <v>6</v>
      </c>
    </row>
    <row r="189" spans="1:13" x14ac:dyDescent="0.3">
      <c r="A189" t="s">
        <v>583</v>
      </c>
      <c r="B189" t="s">
        <v>5</v>
      </c>
      <c r="C189">
        <v>136</v>
      </c>
      <c r="D189" t="s">
        <v>13</v>
      </c>
      <c r="E189" s="32">
        <v>45097</v>
      </c>
      <c r="F189">
        <v>37</v>
      </c>
      <c r="G189">
        <v>0.9</v>
      </c>
      <c r="H189">
        <v>2023</v>
      </c>
      <c r="I189" t="s">
        <v>1067</v>
      </c>
      <c r="J189" t="s">
        <v>1089</v>
      </c>
      <c r="K189">
        <v>1</v>
      </c>
      <c r="L189" t="s">
        <v>1054</v>
      </c>
      <c r="M189">
        <v>6</v>
      </c>
    </row>
    <row r="190" spans="1:13" x14ac:dyDescent="0.3">
      <c r="A190" t="s">
        <v>586</v>
      </c>
      <c r="B190" t="s">
        <v>15</v>
      </c>
      <c r="C190">
        <v>80</v>
      </c>
      <c r="D190" t="s">
        <v>6</v>
      </c>
      <c r="E190" s="32">
        <v>45098</v>
      </c>
      <c r="F190">
        <v>32</v>
      </c>
      <c r="G190">
        <v>4.7</v>
      </c>
      <c r="H190">
        <v>2023</v>
      </c>
      <c r="I190" t="s">
        <v>1068</v>
      </c>
      <c r="J190" t="s">
        <v>1087</v>
      </c>
      <c r="K190">
        <v>5</v>
      </c>
      <c r="L190" t="s">
        <v>1054</v>
      </c>
      <c r="M190">
        <v>6</v>
      </c>
    </row>
    <row r="191" spans="1:13" x14ac:dyDescent="0.3">
      <c r="A191" t="s">
        <v>589</v>
      </c>
      <c r="B191" t="s">
        <v>19</v>
      </c>
      <c r="C191">
        <v>74</v>
      </c>
      <c r="D191" t="s">
        <v>10</v>
      </c>
      <c r="E191" s="32">
        <v>45098</v>
      </c>
      <c r="F191">
        <v>117</v>
      </c>
      <c r="G191">
        <v>4.8</v>
      </c>
      <c r="H191">
        <v>2023</v>
      </c>
      <c r="I191" t="s">
        <v>1068</v>
      </c>
      <c r="J191" t="s">
        <v>1087</v>
      </c>
      <c r="K191">
        <v>5</v>
      </c>
      <c r="L191" t="s">
        <v>1054</v>
      </c>
      <c r="M191">
        <v>6</v>
      </c>
    </row>
    <row r="192" spans="1:13" x14ac:dyDescent="0.3">
      <c r="A192" t="s">
        <v>590</v>
      </c>
      <c r="B192" t="s">
        <v>15</v>
      </c>
      <c r="C192">
        <v>52</v>
      </c>
      <c r="D192" t="s">
        <v>11</v>
      </c>
      <c r="E192" s="32">
        <v>45100</v>
      </c>
      <c r="F192">
        <v>70</v>
      </c>
      <c r="G192">
        <v>4.0999999999999996</v>
      </c>
      <c r="H192">
        <v>2023</v>
      </c>
      <c r="I192" t="s">
        <v>1062</v>
      </c>
      <c r="J192" t="s">
        <v>1088</v>
      </c>
      <c r="K192">
        <v>4</v>
      </c>
      <c r="L192" t="s">
        <v>1054</v>
      </c>
      <c r="M192">
        <v>6</v>
      </c>
    </row>
    <row r="193" spans="1:13" x14ac:dyDescent="0.3">
      <c r="A193" t="s">
        <v>591</v>
      </c>
      <c r="B193" t="s">
        <v>15</v>
      </c>
      <c r="C193">
        <v>74</v>
      </c>
      <c r="D193" t="s">
        <v>9</v>
      </c>
      <c r="E193" s="32">
        <v>45100</v>
      </c>
      <c r="F193">
        <v>37</v>
      </c>
      <c r="G193">
        <v>2.7</v>
      </c>
      <c r="H193">
        <v>2023</v>
      </c>
      <c r="I193" t="s">
        <v>1062</v>
      </c>
      <c r="J193" t="s">
        <v>1087</v>
      </c>
      <c r="K193">
        <v>3</v>
      </c>
      <c r="L193" t="s">
        <v>1054</v>
      </c>
      <c r="M193">
        <v>6</v>
      </c>
    </row>
    <row r="194" spans="1:13" x14ac:dyDescent="0.3">
      <c r="A194" t="s">
        <v>593</v>
      </c>
      <c r="B194" t="s">
        <v>14</v>
      </c>
      <c r="C194">
        <v>104</v>
      </c>
      <c r="D194" t="s">
        <v>6</v>
      </c>
      <c r="E194" s="32">
        <v>45100</v>
      </c>
      <c r="F194">
        <v>136</v>
      </c>
      <c r="G194">
        <v>5</v>
      </c>
      <c r="H194">
        <v>2023</v>
      </c>
      <c r="I194" t="s">
        <v>1062</v>
      </c>
      <c r="J194" t="s">
        <v>1087</v>
      </c>
      <c r="K194">
        <v>5</v>
      </c>
      <c r="L194" t="s">
        <v>1054</v>
      </c>
      <c r="M194">
        <v>6</v>
      </c>
    </row>
    <row r="195" spans="1:13" x14ac:dyDescent="0.3">
      <c r="A195" t="s">
        <v>596</v>
      </c>
      <c r="B195" t="s">
        <v>14</v>
      </c>
      <c r="C195">
        <v>35</v>
      </c>
      <c r="D195" t="s">
        <v>11</v>
      </c>
      <c r="E195" s="32">
        <v>45102</v>
      </c>
      <c r="F195">
        <v>86</v>
      </c>
      <c r="G195">
        <v>4.5999999999999996</v>
      </c>
      <c r="H195">
        <v>2023</v>
      </c>
      <c r="I195" t="s">
        <v>1065</v>
      </c>
      <c r="J195" t="s">
        <v>1088</v>
      </c>
      <c r="K195">
        <v>5</v>
      </c>
      <c r="L195" t="s">
        <v>1054</v>
      </c>
      <c r="M195">
        <v>6</v>
      </c>
    </row>
    <row r="196" spans="1:13" x14ac:dyDescent="0.3">
      <c r="A196" t="s">
        <v>597</v>
      </c>
      <c r="B196" t="s">
        <v>15</v>
      </c>
      <c r="C196">
        <v>123</v>
      </c>
      <c r="D196" t="s">
        <v>6</v>
      </c>
      <c r="E196" s="32">
        <v>45102</v>
      </c>
      <c r="F196">
        <v>68</v>
      </c>
      <c r="G196">
        <v>4.5</v>
      </c>
      <c r="H196">
        <v>2023</v>
      </c>
      <c r="I196" t="s">
        <v>1065</v>
      </c>
      <c r="J196" t="s">
        <v>1089</v>
      </c>
      <c r="K196">
        <v>5</v>
      </c>
      <c r="L196" t="s">
        <v>1054</v>
      </c>
      <c r="M196">
        <v>6</v>
      </c>
    </row>
    <row r="197" spans="1:13" x14ac:dyDescent="0.3">
      <c r="A197" t="s">
        <v>600</v>
      </c>
      <c r="B197" t="s">
        <v>15</v>
      </c>
      <c r="C197">
        <v>39</v>
      </c>
      <c r="D197" t="s">
        <v>10</v>
      </c>
      <c r="E197" s="32">
        <v>45103</v>
      </c>
      <c r="F197">
        <v>176</v>
      </c>
      <c r="G197">
        <v>4.3</v>
      </c>
      <c r="H197">
        <v>2023</v>
      </c>
      <c r="I197" t="s">
        <v>1063</v>
      </c>
      <c r="J197" t="s">
        <v>1088</v>
      </c>
      <c r="K197">
        <v>4</v>
      </c>
      <c r="L197" t="s">
        <v>1054</v>
      </c>
      <c r="M197">
        <v>6</v>
      </c>
    </row>
    <row r="198" spans="1:13" x14ac:dyDescent="0.3">
      <c r="A198" t="s">
        <v>601</v>
      </c>
      <c r="B198" t="s">
        <v>19</v>
      </c>
      <c r="C198">
        <v>31</v>
      </c>
      <c r="D198" t="s">
        <v>6</v>
      </c>
      <c r="E198" s="32">
        <v>45103</v>
      </c>
      <c r="F198">
        <v>172</v>
      </c>
      <c r="G198">
        <v>3.9</v>
      </c>
      <c r="H198">
        <v>2023</v>
      </c>
      <c r="I198" t="s">
        <v>1063</v>
      </c>
      <c r="J198" t="s">
        <v>1088</v>
      </c>
      <c r="K198">
        <v>4</v>
      </c>
      <c r="L198" t="s">
        <v>1054</v>
      </c>
      <c r="M198">
        <v>6</v>
      </c>
    </row>
    <row r="199" spans="1:13" x14ac:dyDescent="0.3">
      <c r="A199" t="s">
        <v>604</v>
      </c>
      <c r="B199" t="s">
        <v>14</v>
      </c>
      <c r="C199">
        <v>63</v>
      </c>
      <c r="D199" t="s">
        <v>9</v>
      </c>
      <c r="E199" s="32">
        <v>45104</v>
      </c>
      <c r="F199">
        <v>70</v>
      </c>
      <c r="G199">
        <v>1.6</v>
      </c>
      <c r="H199">
        <v>2023</v>
      </c>
      <c r="I199" t="s">
        <v>1067</v>
      </c>
      <c r="J199" t="s">
        <v>1087</v>
      </c>
      <c r="K199">
        <v>2</v>
      </c>
      <c r="L199" t="s">
        <v>1054</v>
      </c>
      <c r="M199">
        <v>6</v>
      </c>
    </row>
    <row r="200" spans="1:13" x14ac:dyDescent="0.3">
      <c r="A200" t="s">
        <v>606</v>
      </c>
      <c r="B200" t="s">
        <v>18</v>
      </c>
      <c r="C200">
        <v>101</v>
      </c>
      <c r="D200" t="s">
        <v>9</v>
      </c>
      <c r="E200" s="32">
        <v>45104</v>
      </c>
      <c r="F200">
        <v>84</v>
      </c>
      <c r="G200">
        <v>3.5</v>
      </c>
      <c r="H200">
        <v>2023</v>
      </c>
      <c r="I200" t="s">
        <v>1067</v>
      </c>
      <c r="J200" t="s">
        <v>1087</v>
      </c>
      <c r="K200">
        <v>4</v>
      </c>
      <c r="L200" t="s">
        <v>1054</v>
      </c>
      <c r="M200">
        <v>6</v>
      </c>
    </row>
    <row r="201" spans="1:13" x14ac:dyDescent="0.3">
      <c r="A201" t="s">
        <v>609</v>
      </c>
      <c r="B201" t="s">
        <v>18</v>
      </c>
      <c r="C201">
        <v>102</v>
      </c>
      <c r="D201" t="s">
        <v>13</v>
      </c>
      <c r="E201" s="32">
        <v>45106</v>
      </c>
      <c r="F201">
        <v>99</v>
      </c>
      <c r="G201">
        <v>3.2</v>
      </c>
      <c r="H201">
        <v>2023</v>
      </c>
      <c r="I201" t="s">
        <v>1066</v>
      </c>
      <c r="J201" t="s">
        <v>1087</v>
      </c>
      <c r="K201">
        <v>3</v>
      </c>
      <c r="L201" t="s">
        <v>1054</v>
      </c>
      <c r="M201">
        <v>6</v>
      </c>
    </row>
    <row r="202" spans="1:13" x14ac:dyDescent="0.3">
      <c r="A202" t="s">
        <v>610</v>
      </c>
      <c r="B202" t="s">
        <v>14</v>
      </c>
      <c r="C202">
        <v>60</v>
      </c>
      <c r="D202" t="s">
        <v>13</v>
      </c>
      <c r="E202" s="32">
        <v>45107</v>
      </c>
      <c r="F202">
        <v>66</v>
      </c>
      <c r="G202">
        <v>3.2</v>
      </c>
      <c r="H202">
        <v>2023</v>
      </c>
      <c r="I202" t="s">
        <v>1062</v>
      </c>
      <c r="J202" t="s">
        <v>1088</v>
      </c>
      <c r="K202">
        <v>3</v>
      </c>
      <c r="L202" t="s">
        <v>1054</v>
      </c>
      <c r="M202">
        <v>6</v>
      </c>
    </row>
    <row r="203" spans="1:13" x14ac:dyDescent="0.3">
      <c r="A203" t="s">
        <v>618</v>
      </c>
      <c r="B203" t="s">
        <v>14</v>
      </c>
      <c r="C203">
        <v>110</v>
      </c>
      <c r="D203" t="s">
        <v>9</v>
      </c>
      <c r="E203" s="32">
        <v>45109</v>
      </c>
      <c r="F203">
        <v>104</v>
      </c>
      <c r="G203">
        <v>4.4000000000000004</v>
      </c>
      <c r="H203">
        <v>2024</v>
      </c>
      <c r="I203" t="s">
        <v>1065</v>
      </c>
      <c r="J203" t="s">
        <v>1087</v>
      </c>
      <c r="K203">
        <v>4</v>
      </c>
      <c r="L203" t="s">
        <v>1055</v>
      </c>
      <c r="M203">
        <v>7</v>
      </c>
    </row>
    <row r="204" spans="1:13" x14ac:dyDescent="0.3">
      <c r="A204" t="s">
        <v>620</v>
      </c>
      <c r="B204" t="s">
        <v>18</v>
      </c>
      <c r="C204">
        <v>109</v>
      </c>
      <c r="D204" t="s">
        <v>6</v>
      </c>
      <c r="E204" s="32">
        <v>45111</v>
      </c>
      <c r="F204">
        <v>140</v>
      </c>
      <c r="G204">
        <v>2.4</v>
      </c>
      <c r="H204">
        <v>2024</v>
      </c>
      <c r="I204" t="s">
        <v>1067</v>
      </c>
      <c r="J204" t="s">
        <v>1087</v>
      </c>
      <c r="K204">
        <v>2</v>
      </c>
      <c r="L204" t="s">
        <v>1055</v>
      </c>
      <c r="M204">
        <v>7</v>
      </c>
    </row>
    <row r="205" spans="1:13" x14ac:dyDescent="0.3">
      <c r="A205" t="s">
        <v>622</v>
      </c>
      <c r="B205" t="s">
        <v>18</v>
      </c>
      <c r="C205">
        <v>68</v>
      </c>
      <c r="D205" t="s">
        <v>13</v>
      </c>
      <c r="E205" s="32">
        <v>45112</v>
      </c>
      <c r="F205">
        <v>41</v>
      </c>
      <c r="G205">
        <v>3.1</v>
      </c>
      <c r="H205">
        <v>2024</v>
      </c>
      <c r="I205" t="s">
        <v>1068</v>
      </c>
      <c r="J205" t="s">
        <v>1087</v>
      </c>
      <c r="K205">
        <v>3</v>
      </c>
      <c r="L205" t="s">
        <v>1055</v>
      </c>
      <c r="M205">
        <v>7</v>
      </c>
    </row>
    <row r="206" spans="1:13" x14ac:dyDescent="0.3">
      <c r="A206" t="s">
        <v>629</v>
      </c>
      <c r="B206" t="s">
        <v>15</v>
      </c>
      <c r="C206">
        <v>49</v>
      </c>
      <c r="D206" t="s">
        <v>11</v>
      </c>
      <c r="E206" s="32">
        <v>45115</v>
      </c>
      <c r="F206">
        <v>39</v>
      </c>
      <c r="G206">
        <v>4.5999999999999996</v>
      </c>
      <c r="H206">
        <v>2024</v>
      </c>
      <c r="I206" t="s">
        <v>1064</v>
      </c>
      <c r="J206" t="s">
        <v>1088</v>
      </c>
      <c r="K206">
        <v>5</v>
      </c>
      <c r="L206" t="s">
        <v>1055</v>
      </c>
      <c r="M206">
        <v>7</v>
      </c>
    </row>
    <row r="207" spans="1:13" x14ac:dyDescent="0.3">
      <c r="A207" t="s">
        <v>635</v>
      </c>
      <c r="B207" t="s">
        <v>19</v>
      </c>
      <c r="C207">
        <v>52</v>
      </c>
      <c r="D207" t="s">
        <v>6</v>
      </c>
      <c r="E207" s="32">
        <v>45117</v>
      </c>
      <c r="F207">
        <v>190</v>
      </c>
      <c r="G207">
        <v>3.3</v>
      </c>
      <c r="H207">
        <v>2024</v>
      </c>
      <c r="I207" t="s">
        <v>1063</v>
      </c>
      <c r="J207" t="s">
        <v>1088</v>
      </c>
      <c r="K207">
        <v>3</v>
      </c>
      <c r="L207" t="s">
        <v>1055</v>
      </c>
      <c r="M207">
        <v>7</v>
      </c>
    </row>
    <row r="208" spans="1:13" x14ac:dyDescent="0.3">
      <c r="A208" t="s">
        <v>637</v>
      </c>
      <c r="B208" t="s">
        <v>5</v>
      </c>
      <c r="C208">
        <v>131</v>
      </c>
      <c r="D208" t="s">
        <v>9</v>
      </c>
      <c r="E208" s="32">
        <v>45118</v>
      </c>
      <c r="F208">
        <v>76</v>
      </c>
      <c r="G208">
        <v>4.5</v>
      </c>
      <c r="H208">
        <v>2024</v>
      </c>
      <c r="I208" t="s">
        <v>1067</v>
      </c>
      <c r="J208" t="s">
        <v>1089</v>
      </c>
      <c r="K208">
        <v>5</v>
      </c>
      <c r="L208" t="s">
        <v>1055</v>
      </c>
      <c r="M208">
        <v>7</v>
      </c>
    </row>
    <row r="209" spans="1:13" x14ac:dyDescent="0.3">
      <c r="A209" t="s">
        <v>639</v>
      </c>
      <c r="B209" t="s">
        <v>14</v>
      </c>
      <c r="C209">
        <v>45</v>
      </c>
      <c r="D209" t="s">
        <v>6</v>
      </c>
      <c r="E209" s="32">
        <v>45119</v>
      </c>
      <c r="F209">
        <v>84</v>
      </c>
      <c r="G209">
        <v>4.8</v>
      </c>
      <c r="H209">
        <v>2024</v>
      </c>
      <c r="I209" t="s">
        <v>1068</v>
      </c>
      <c r="J209" t="s">
        <v>1088</v>
      </c>
      <c r="K209">
        <v>5</v>
      </c>
      <c r="L209" t="s">
        <v>1055</v>
      </c>
      <c r="M209">
        <v>7</v>
      </c>
    </row>
    <row r="210" spans="1:13" x14ac:dyDescent="0.3">
      <c r="A210" t="s">
        <v>642</v>
      </c>
      <c r="B210" t="s">
        <v>5</v>
      </c>
      <c r="C210">
        <v>33</v>
      </c>
      <c r="D210" t="s">
        <v>11</v>
      </c>
      <c r="E210" s="32">
        <v>45120</v>
      </c>
      <c r="F210">
        <v>27</v>
      </c>
      <c r="G210">
        <v>3.7</v>
      </c>
      <c r="H210">
        <v>2024</v>
      </c>
      <c r="I210" t="s">
        <v>1066</v>
      </c>
      <c r="J210" t="s">
        <v>1088</v>
      </c>
      <c r="K210">
        <v>4</v>
      </c>
      <c r="L210" t="s">
        <v>1055</v>
      </c>
      <c r="M210">
        <v>7</v>
      </c>
    </row>
    <row r="211" spans="1:13" x14ac:dyDescent="0.3">
      <c r="A211" t="s">
        <v>644</v>
      </c>
      <c r="B211" t="s">
        <v>14</v>
      </c>
      <c r="C211">
        <v>168</v>
      </c>
      <c r="D211" t="s">
        <v>11</v>
      </c>
      <c r="E211" s="32">
        <v>45121</v>
      </c>
      <c r="F211">
        <v>72</v>
      </c>
      <c r="G211">
        <v>3.5</v>
      </c>
      <c r="H211">
        <v>2024</v>
      </c>
      <c r="I211" t="s">
        <v>1062</v>
      </c>
      <c r="J211" t="s">
        <v>1089</v>
      </c>
      <c r="K211">
        <v>4</v>
      </c>
      <c r="L211" t="s">
        <v>1055</v>
      </c>
      <c r="M211">
        <v>7</v>
      </c>
    </row>
    <row r="212" spans="1:13" x14ac:dyDescent="0.3">
      <c r="A212" t="s">
        <v>653</v>
      </c>
      <c r="B212" t="s">
        <v>5</v>
      </c>
      <c r="C212">
        <v>109</v>
      </c>
      <c r="D212" t="s">
        <v>10</v>
      </c>
      <c r="E212" s="32">
        <v>45126</v>
      </c>
      <c r="F212">
        <v>132</v>
      </c>
      <c r="G212">
        <v>3.1</v>
      </c>
      <c r="H212">
        <v>2024</v>
      </c>
      <c r="I212" t="s">
        <v>1068</v>
      </c>
      <c r="J212" t="s">
        <v>1087</v>
      </c>
      <c r="K212">
        <v>3</v>
      </c>
      <c r="L212" t="s">
        <v>1055</v>
      </c>
      <c r="M212">
        <v>7</v>
      </c>
    </row>
    <row r="213" spans="1:13" x14ac:dyDescent="0.3">
      <c r="A213" t="s">
        <v>663</v>
      </c>
      <c r="B213" t="s">
        <v>19</v>
      </c>
      <c r="C213">
        <v>10</v>
      </c>
      <c r="D213" t="s">
        <v>6</v>
      </c>
      <c r="E213" s="32">
        <v>45133</v>
      </c>
      <c r="F213">
        <v>72</v>
      </c>
      <c r="G213">
        <v>3.7</v>
      </c>
      <c r="H213">
        <v>2024</v>
      </c>
      <c r="I213" t="s">
        <v>1068</v>
      </c>
      <c r="J213" t="s">
        <v>1090</v>
      </c>
      <c r="K213">
        <v>4</v>
      </c>
      <c r="L213" t="s">
        <v>1055</v>
      </c>
      <c r="M213">
        <v>7</v>
      </c>
    </row>
    <row r="214" spans="1:13" x14ac:dyDescent="0.3">
      <c r="A214" t="s">
        <v>674</v>
      </c>
      <c r="B214" t="s">
        <v>5</v>
      </c>
      <c r="C214">
        <v>164</v>
      </c>
      <c r="D214" t="s">
        <v>10</v>
      </c>
      <c r="E214" s="32">
        <v>45138</v>
      </c>
      <c r="F214">
        <v>36</v>
      </c>
      <c r="G214">
        <v>4.7</v>
      </c>
      <c r="H214">
        <v>2024</v>
      </c>
      <c r="I214" t="s">
        <v>1063</v>
      </c>
      <c r="J214" t="s">
        <v>1089</v>
      </c>
      <c r="K214">
        <v>5</v>
      </c>
      <c r="L214" t="s">
        <v>1055</v>
      </c>
      <c r="M214">
        <v>7</v>
      </c>
    </row>
    <row r="215" spans="1:13" x14ac:dyDescent="0.3">
      <c r="A215" t="s">
        <v>676</v>
      </c>
      <c r="B215" t="s">
        <v>15</v>
      </c>
      <c r="C215">
        <v>71</v>
      </c>
      <c r="D215" t="s">
        <v>10</v>
      </c>
      <c r="E215" s="32">
        <v>45140</v>
      </c>
      <c r="F215">
        <v>170</v>
      </c>
      <c r="G215">
        <v>3.5</v>
      </c>
      <c r="H215">
        <v>2024</v>
      </c>
      <c r="I215" t="s">
        <v>1068</v>
      </c>
      <c r="J215" t="s">
        <v>1087</v>
      </c>
      <c r="K215">
        <v>4</v>
      </c>
      <c r="L215" t="s">
        <v>1056</v>
      </c>
      <c r="M215">
        <v>8</v>
      </c>
    </row>
    <row r="216" spans="1:13" x14ac:dyDescent="0.3">
      <c r="A216" t="s">
        <v>680</v>
      </c>
      <c r="B216" t="s">
        <v>18</v>
      </c>
      <c r="C216">
        <v>97</v>
      </c>
      <c r="D216" t="s">
        <v>9</v>
      </c>
      <c r="E216" s="32">
        <v>45142</v>
      </c>
      <c r="F216">
        <v>105</v>
      </c>
      <c r="G216">
        <v>2.9</v>
      </c>
      <c r="H216">
        <v>2024</v>
      </c>
      <c r="I216" t="s">
        <v>1062</v>
      </c>
      <c r="J216" t="s">
        <v>1087</v>
      </c>
      <c r="K216">
        <v>3</v>
      </c>
      <c r="L216" t="s">
        <v>1056</v>
      </c>
      <c r="M216">
        <v>8</v>
      </c>
    </row>
    <row r="217" spans="1:13" x14ac:dyDescent="0.3">
      <c r="A217" t="s">
        <v>681</v>
      </c>
      <c r="B217" t="s">
        <v>14</v>
      </c>
      <c r="C217">
        <v>144</v>
      </c>
      <c r="D217" t="s">
        <v>13</v>
      </c>
      <c r="E217" s="32">
        <v>45142</v>
      </c>
      <c r="F217">
        <v>195</v>
      </c>
      <c r="G217">
        <v>3.4</v>
      </c>
      <c r="H217">
        <v>2024</v>
      </c>
      <c r="I217" t="s">
        <v>1062</v>
      </c>
      <c r="J217" t="s">
        <v>1089</v>
      </c>
      <c r="K217">
        <v>3</v>
      </c>
      <c r="L217" t="s">
        <v>1056</v>
      </c>
      <c r="M217">
        <v>8</v>
      </c>
    </row>
    <row r="218" spans="1:13" x14ac:dyDescent="0.3">
      <c r="A218" t="s">
        <v>683</v>
      </c>
      <c r="B218" t="s">
        <v>14</v>
      </c>
      <c r="C218">
        <v>132</v>
      </c>
      <c r="D218" t="s">
        <v>13</v>
      </c>
      <c r="E218" s="32">
        <v>45144</v>
      </c>
      <c r="F218">
        <v>195</v>
      </c>
      <c r="G218">
        <v>4.9000000000000004</v>
      </c>
      <c r="H218">
        <v>2024</v>
      </c>
      <c r="I218" t="s">
        <v>1065</v>
      </c>
      <c r="J218" t="s">
        <v>1089</v>
      </c>
      <c r="K218">
        <v>5</v>
      </c>
      <c r="L218" t="s">
        <v>1056</v>
      </c>
      <c r="M218">
        <v>8</v>
      </c>
    </row>
    <row r="219" spans="1:13" x14ac:dyDescent="0.3">
      <c r="A219" t="s">
        <v>684</v>
      </c>
      <c r="B219" t="s">
        <v>15</v>
      </c>
      <c r="C219">
        <v>72</v>
      </c>
      <c r="D219" t="s">
        <v>11</v>
      </c>
      <c r="E219" s="32">
        <v>45144</v>
      </c>
      <c r="F219">
        <v>70</v>
      </c>
      <c r="G219">
        <v>3.6</v>
      </c>
      <c r="H219">
        <v>2024</v>
      </c>
      <c r="I219" t="s">
        <v>1065</v>
      </c>
      <c r="J219" t="s">
        <v>1087</v>
      </c>
      <c r="K219">
        <v>4</v>
      </c>
      <c r="L219" t="s">
        <v>1056</v>
      </c>
      <c r="M219">
        <v>8</v>
      </c>
    </row>
    <row r="220" spans="1:13" x14ac:dyDescent="0.3">
      <c r="A220" t="s">
        <v>689</v>
      </c>
      <c r="B220" t="s">
        <v>19</v>
      </c>
      <c r="C220">
        <v>120</v>
      </c>
      <c r="D220" t="s">
        <v>10</v>
      </c>
      <c r="E220" s="32">
        <v>45148</v>
      </c>
      <c r="F220">
        <v>58</v>
      </c>
      <c r="G220">
        <v>4.5999999999999996</v>
      </c>
      <c r="H220">
        <v>2024</v>
      </c>
      <c r="I220" t="s">
        <v>1066</v>
      </c>
      <c r="J220" t="s">
        <v>1087</v>
      </c>
      <c r="K220">
        <v>5</v>
      </c>
      <c r="L220" t="s">
        <v>1056</v>
      </c>
      <c r="M220">
        <v>8</v>
      </c>
    </row>
    <row r="221" spans="1:13" x14ac:dyDescent="0.3">
      <c r="A221" t="s">
        <v>690</v>
      </c>
      <c r="B221" t="s">
        <v>18</v>
      </c>
      <c r="C221">
        <v>75</v>
      </c>
      <c r="D221" t="s">
        <v>6</v>
      </c>
      <c r="E221" s="32">
        <v>45148</v>
      </c>
      <c r="F221">
        <v>220</v>
      </c>
      <c r="G221">
        <v>4.7</v>
      </c>
      <c r="H221">
        <v>2024</v>
      </c>
      <c r="I221" t="s">
        <v>1066</v>
      </c>
      <c r="J221" t="s">
        <v>1087</v>
      </c>
      <c r="K221">
        <v>5</v>
      </c>
      <c r="L221" t="s">
        <v>1056</v>
      </c>
      <c r="M221">
        <v>8</v>
      </c>
    </row>
    <row r="222" spans="1:13" x14ac:dyDescent="0.3">
      <c r="A222" t="s">
        <v>692</v>
      </c>
      <c r="B222" t="s">
        <v>14</v>
      </c>
      <c r="C222">
        <v>74</v>
      </c>
      <c r="D222" t="s">
        <v>6</v>
      </c>
      <c r="E222" s="32">
        <v>45150</v>
      </c>
      <c r="F222">
        <v>26</v>
      </c>
      <c r="G222">
        <v>4.3</v>
      </c>
      <c r="H222">
        <v>2024</v>
      </c>
      <c r="I222" t="s">
        <v>1064</v>
      </c>
      <c r="J222" t="s">
        <v>1087</v>
      </c>
      <c r="K222">
        <v>4</v>
      </c>
      <c r="L222" t="s">
        <v>1056</v>
      </c>
      <c r="M222">
        <v>8</v>
      </c>
    </row>
    <row r="223" spans="1:13" x14ac:dyDescent="0.3">
      <c r="A223" t="s">
        <v>697</v>
      </c>
      <c r="B223" t="s">
        <v>18</v>
      </c>
      <c r="C223">
        <v>89</v>
      </c>
      <c r="D223" t="s">
        <v>13</v>
      </c>
      <c r="E223" s="32">
        <v>45156</v>
      </c>
      <c r="F223">
        <v>164</v>
      </c>
      <c r="G223">
        <v>4.5</v>
      </c>
      <c r="H223">
        <v>2024</v>
      </c>
      <c r="I223" t="s">
        <v>1062</v>
      </c>
      <c r="J223" t="s">
        <v>1087</v>
      </c>
      <c r="K223">
        <v>5</v>
      </c>
      <c r="L223" t="s">
        <v>1056</v>
      </c>
      <c r="M223">
        <v>8</v>
      </c>
    </row>
    <row r="224" spans="1:13" x14ac:dyDescent="0.3">
      <c r="A224" t="s">
        <v>699</v>
      </c>
      <c r="B224" t="s">
        <v>18</v>
      </c>
      <c r="C224">
        <v>66</v>
      </c>
      <c r="D224" t="s">
        <v>13</v>
      </c>
      <c r="E224" s="32">
        <v>45157</v>
      </c>
      <c r="F224">
        <v>120</v>
      </c>
      <c r="G224">
        <v>4.5</v>
      </c>
      <c r="H224">
        <v>2024</v>
      </c>
      <c r="I224" t="s">
        <v>1064</v>
      </c>
      <c r="J224" t="s">
        <v>1087</v>
      </c>
      <c r="K224">
        <v>5</v>
      </c>
      <c r="L224" t="s">
        <v>1056</v>
      </c>
      <c r="M224">
        <v>8</v>
      </c>
    </row>
    <row r="225" spans="1:13" x14ac:dyDescent="0.3">
      <c r="A225" t="s">
        <v>700</v>
      </c>
      <c r="B225" t="s">
        <v>15</v>
      </c>
      <c r="C225">
        <v>61</v>
      </c>
      <c r="D225" t="s">
        <v>11</v>
      </c>
      <c r="E225" s="32">
        <v>45157</v>
      </c>
      <c r="F225">
        <v>93</v>
      </c>
      <c r="G225">
        <v>2.7</v>
      </c>
      <c r="H225">
        <v>2024</v>
      </c>
      <c r="I225" t="s">
        <v>1064</v>
      </c>
      <c r="J225" t="s">
        <v>1087</v>
      </c>
      <c r="K225">
        <v>3</v>
      </c>
      <c r="L225" t="s">
        <v>1056</v>
      </c>
      <c r="M225">
        <v>8</v>
      </c>
    </row>
    <row r="226" spans="1:13" x14ac:dyDescent="0.3">
      <c r="A226" t="s">
        <v>703</v>
      </c>
      <c r="B226" t="s">
        <v>5</v>
      </c>
      <c r="C226">
        <v>63</v>
      </c>
      <c r="D226" t="s">
        <v>11</v>
      </c>
      <c r="E226" s="32">
        <v>45158</v>
      </c>
      <c r="F226">
        <v>29</v>
      </c>
      <c r="G226">
        <v>4.7</v>
      </c>
      <c r="H226">
        <v>2024</v>
      </c>
      <c r="I226" t="s">
        <v>1065</v>
      </c>
      <c r="J226" t="s">
        <v>1087</v>
      </c>
      <c r="K226">
        <v>5</v>
      </c>
      <c r="L226" t="s">
        <v>1056</v>
      </c>
      <c r="M226">
        <v>8</v>
      </c>
    </row>
    <row r="227" spans="1:13" x14ac:dyDescent="0.3">
      <c r="A227" t="s">
        <v>710</v>
      </c>
      <c r="B227" t="s">
        <v>15</v>
      </c>
      <c r="C227">
        <v>146</v>
      </c>
      <c r="D227" t="s">
        <v>11</v>
      </c>
      <c r="E227" s="32">
        <v>45162</v>
      </c>
      <c r="F227">
        <v>160</v>
      </c>
      <c r="G227">
        <v>4.0999999999999996</v>
      </c>
      <c r="H227">
        <v>2024</v>
      </c>
      <c r="I227" t="s">
        <v>1066</v>
      </c>
      <c r="J227" t="s">
        <v>1089</v>
      </c>
      <c r="K227">
        <v>4</v>
      </c>
      <c r="L227" t="s">
        <v>1056</v>
      </c>
      <c r="M227">
        <v>8</v>
      </c>
    </row>
    <row r="228" spans="1:13" x14ac:dyDescent="0.3">
      <c r="A228" t="s">
        <v>715</v>
      </c>
      <c r="B228" t="s">
        <v>15</v>
      </c>
      <c r="C228">
        <v>104</v>
      </c>
      <c r="D228" t="s">
        <v>13</v>
      </c>
      <c r="E228" s="32">
        <v>45164</v>
      </c>
      <c r="F228">
        <v>66</v>
      </c>
      <c r="G228">
        <v>4.8</v>
      </c>
      <c r="H228">
        <v>2024</v>
      </c>
      <c r="I228" t="s">
        <v>1064</v>
      </c>
      <c r="J228" t="s">
        <v>1087</v>
      </c>
      <c r="K228">
        <v>5</v>
      </c>
      <c r="L228" t="s">
        <v>1056</v>
      </c>
      <c r="M228">
        <v>8</v>
      </c>
    </row>
    <row r="229" spans="1:13" x14ac:dyDescent="0.3">
      <c r="A229" t="s">
        <v>717</v>
      </c>
      <c r="B229" t="s">
        <v>19</v>
      </c>
      <c r="C229">
        <v>80</v>
      </c>
      <c r="D229" t="s">
        <v>6</v>
      </c>
      <c r="E229" s="32">
        <v>45165</v>
      </c>
      <c r="F229">
        <v>104</v>
      </c>
      <c r="G229">
        <v>4.7</v>
      </c>
      <c r="H229">
        <v>2024</v>
      </c>
      <c r="I229" t="s">
        <v>1065</v>
      </c>
      <c r="J229" t="s">
        <v>1087</v>
      </c>
      <c r="K229">
        <v>5</v>
      </c>
      <c r="L229" t="s">
        <v>1056</v>
      </c>
      <c r="M229">
        <v>8</v>
      </c>
    </row>
    <row r="230" spans="1:13" x14ac:dyDescent="0.3">
      <c r="A230" t="s">
        <v>720</v>
      </c>
      <c r="B230" t="s">
        <v>15</v>
      </c>
      <c r="C230">
        <v>117</v>
      </c>
      <c r="D230" t="s">
        <v>6</v>
      </c>
      <c r="E230" s="32">
        <v>45165</v>
      </c>
      <c r="F230">
        <v>90</v>
      </c>
      <c r="G230">
        <v>4.0999999999999996</v>
      </c>
      <c r="H230">
        <v>2024</v>
      </c>
      <c r="I230" t="s">
        <v>1065</v>
      </c>
      <c r="J230" t="s">
        <v>1087</v>
      </c>
      <c r="K230">
        <v>4</v>
      </c>
      <c r="L230" t="s">
        <v>1056</v>
      </c>
      <c r="M230">
        <v>8</v>
      </c>
    </row>
    <row r="231" spans="1:13" x14ac:dyDescent="0.3">
      <c r="A231" t="s">
        <v>726</v>
      </c>
      <c r="B231" t="s">
        <v>14</v>
      </c>
      <c r="C231">
        <v>124</v>
      </c>
      <c r="D231" t="s">
        <v>10</v>
      </c>
      <c r="E231" s="32">
        <v>45170</v>
      </c>
      <c r="F231">
        <v>132</v>
      </c>
      <c r="G231">
        <v>4</v>
      </c>
      <c r="H231">
        <v>2024</v>
      </c>
      <c r="I231" t="s">
        <v>1062</v>
      </c>
      <c r="J231" t="s">
        <v>1089</v>
      </c>
      <c r="K231">
        <v>4</v>
      </c>
      <c r="L231" t="s">
        <v>1057</v>
      </c>
      <c r="M231">
        <v>9</v>
      </c>
    </row>
    <row r="232" spans="1:13" x14ac:dyDescent="0.3">
      <c r="A232" t="s">
        <v>728</v>
      </c>
      <c r="B232" t="s">
        <v>18</v>
      </c>
      <c r="C232">
        <v>96</v>
      </c>
      <c r="D232" t="s">
        <v>13</v>
      </c>
      <c r="E232" s="32">
        <v>45170</v>
      </c>
      <c r="F232">
        <v>36</v>
      </c>
      <c r="G232">
        <v>3.4</v>
      </c>
      <c r="H232">
        <v>2024</v>
      </c>
      <c r="I232" t="s">
        <v>1062</v>
      </c>
      <c r="J232" t="s">
        <v>1087</v>
      </c>
      <c r="K232">
        <v>3</v>
      </c>
      <c r="L232" t="s">
        <v>1057</v>
      </c>
      <c r="M232">
        <v>9</v>
      </c>
    </row>
    <row r="233" spans="1:13" x14ac:dyDescent="0.3">
      <c r="A233" t="s">
        <v>736</v>
      </c>
      <c r="B233" t="s">
        <v>15</v>
      </c>
      <c r="C233">
        <v>52</v>
      </c>
      <c r="D233" t="s">
        <v>13</v>
      </c>
      <c r="E233" s="32">
        <v>45175</v>
      </c>
      <c r="F233">
        <v>88</v>
      </c>
      <c r="G233">
        <v>4.3</v>
      </c>
      <c r="H233">
        <v>2024</v>
      </c>
      <c r="I233" t="s">
        <v>1068</v>
      </c>
      <c r="J233" t="s">
        <v>1088</v>
      </c>
      <c r="K233">
        <v>4</v>
      </c>
      <c r="L233" t="s">
        <v>1057</v>
      </c>
      <c r="M233">
        <v>9</v>
      </c>
    </row>
    <row r="234" spans="1:13" x14ac:dyDescent="0.3">
      <c r="A234" t="s">
        <v>748</v>
      </c>
      <c r="B234" t="s">
        <v>19</v>
      </c>
      <c r="C234">
        <v>124</v>
      </c>
      <c r="D234" t="s">
        <v>10</v>
      </c>
      <c r="E234" s="32">
        <v>45179</v>
      </c>
      <c r="F234">
        <v>46</v>
      </c>
      <c r="G234">
        <v>3.1</v>
      </c>
      <c r="H234">
        <v>2024</v>
      </c>
      <c r="I234" t="s">
        <v>1065</v>
      </c>
      <c r="J234" t="s">
        <v>1089</v>
      </c>
      <c r="K234">
        <v>3</v>
      </c>
      <c r="L234" t="s">
        <v>1057</v>
      </c>
      <c r="M234">
        <v>9</v>
      </c>
    </row>
    <row r="235" spans="1:13" x14ac:dyDescent="0.3">
      <c r="A235" t="s">
        <v>750</v>
      </c>
      <c r="B235" t="s">
        <v>18</v>
      </c>
      <c r="C235">
        <v>107</v>
      </c>
      <c r="D235" t="s">
        <v>9</v>
      </c>
      <c r="E235" s="32">
        <v>45179</v>
      </c>
      <c r="F235">
        <v>38</v>
      </c>
      <c r="G235">
        <v>4.7</v>
      </c>
      <c r="H235">
        <v>2024</v>
      </c>
      <c r="I235" t="s">
        <v>1065</v>
      </c>
      <c r="J235" t="s">
        <v>1087</v>
      </c>
      <c r="K235">
        <v>5</v>
      </c>
      <c r="L235" t="s">
        <v>1057</v>
      </c>
      <c r="M235">
        <v>9</v>
      </c>
    </row>
    <row r="236" spans="1:13" x14ac:dyDescent="0.3">
      <c r="A236" t="s">
        <v>752</v>
      </c>
      <c r="B236" t="s">
        <v>14</v>
      </c>
      <c r="C236">
        <v>66</v>
      </c>
      <c r="D236" t="s">
        <v>9</v>
      </c>
      <c r="E236" s="32">
        <v>45181</v>
      </c>
      <c r="F236">
        <v>32</v>
      </c>
      <c r="G236">
        <v>3.8</v>
      </c>
      <c r="H236">
        <v>2024</v>
      </c>
      <c r="I236" t="s">
        <v>1067</v>
      </c>
      <c r="J236" t="s">
        <v>1087</v>
      </c>
      <c r="K236">
        <v>4</v>
      </c>
      <c r="L236" t="s">
        <v>1057</v>
      </c>
      <c r="M236">
        <v>9</v>
      </c>
    </row>
    <row r="237" spans="1:13" x14ac:dyDescent="0.3">
      <c r="A237" t="s">
        <v>754</v>
      </c>
      <c r="B237" t="s">
        <v>18</v>
      </c>
      <c r="C237">
        <v>8</v>
      </c>
      <c r="D237" t="s">
        <v>9</v>
      </c>
      <c r="E237" s="32">
        <v>45181</v>
      </c>
      <c r="F237">
        <v>31</v>
      </c>
      <c r="G237">
        <v>3.9</v>
      </c>
      <c r="H237">
        <v>2024</v>
      </c>
      <c r="I237" t="s">
        <v>1067</v>
      </c>
      <c r="J237" t="s">
        <v>1090</v>
      </c>
      <c r="K237">
        <v>4</v>
      </c>
      <c r="L237" t="s">
        <v>1057</v>
      </c>
      <c r="M237">
        <v>9</v>
      </c>
    </row>
    <row r="238" spans="1:13" x14ac:dyDescent="0.3">
      <c r="A238" t="s">
        <v>757</v>
      </c>
      <c r="B238" t="s">
        <v>14</v>
      </c>
      <c r="C238">
        <v>50</v>
      </c>
      <c r="D238" t="s">
        <v>11</v>
      </c>
      <c r="E238" s="32">
        <v>45183</v>
      </c>
      <c r="F238">
        <v>124</v>
      </c>
      <c r="G238">
        <v>4</v>
      </c>
      <c r="H238">
        <v>2024</v>
      </c>
      <c r="I238" t="s">
        <v>1066</v>
      </c>
      <c r="J238" t="s">
        <v>1088</v>
      </c>
      <c r="K238">
        <v>4</v>
      </c>
      <c r="L238" t="s">
        <v>1057</v>
      </c>
      <c r="M238">
        <v>9</v>
      </c>
    </row>
    <row r="239" spans="1:13" x14ac:dyDescent="0.3">
      <c r="A239" t="s">
        <v>758</v>
      </c>
      <c r="B239" t="s">
        <v>15</v>
      </c>
      <c r="C239">
        <v>78</v>
      </c>
      <c r="D239" t="s">
        <v>11</v>
      </c>
      <c r="E239" s="32">
        <v>45183</v>
      </c>
      <c r="F239">
        <v>23</v>
      </c>
      <c r="G239">
        <v>4.2</v>
      </c>
      <c r="H239">
        <v>2024</v>
      </c>
      <c r="I239" t="s">
        <v>1066</v>
      </c>
      <c r="J239" t="s">
        <v>1087</v>
      </c>
      <c r="K239">
        <v>4</v>
      </c>
      <c r="L239" t="s">
        <v>1057</v>
      </c>
      <c r="M239">
        <v>9</v>
      </c>
    </row>
    <row r="240" spans="1:13" x14ac:dyDescent="0.3">
      <c r="A240" t="s">
        <v>760</v>
      </c>
      <c r="B240" t="s">
        <v>15</v>
      </c>
      <c r="C240">
        <v>126</v>
      </c>
      <c r="D240" t="s">
        <v>9</v>
      </c>
      <c r="E240" s="32">
        <v>45185</v>
      </c>
      <c r="F240">
        <v>52</v>
      </c>
      <c r="G240">
        <v>1.1000000000000001</v>
      </c>
      <c r="H240">
        <v>2024</v>
      </c>
      <c r="I240" t="s">
        <v>1064</v>
      </c>
      <c r="J240" t="s">
        <v>1089</v>
      </c>
      <c r="K240">
        <v>1</v>
      </c>
      <c r="L240" t="s">
        <v>1057</v>
      </c>
      <c r="M240">
        <v>9</v>
      </c>
    </row>
    <row r="241" spans="1:13" x14ac:dyDescent="0.3">
      <c r="A241" t="s">
        <v>765</v>
      </c>
      <c r="B241" t="s">
        <v>18</v>
      </c>
      <c r="C241">
        <v>108</v>
      </c>
      <c r="D241" t="s">
        <v>10</v>
      </c>
      <c r="E241" s="32">
        <v>45190</v>
      </c>
      <c r="F241">
        <v>180</v>
      </c>
      <c r="G241">
        <v>4</v>
      </c>
      <c r="H241">
        <v>2024</v>
      </c>
      <c r="I241" t="s">
        <v>1066</v>
      </c>
      <c r="J241" t="s">
        <v>1087</v>
      </c>
      <c r="K241">
        <v>4</v>
      </c>
      <c r="L241" t="s">
        <v>1057</v>
      </c>
      <c r="M241">
        <v>9</v>
      </c>
    </row>
    <row r="242" spans="1:13" x14ac:dyDescent="0.3">
      <c r="A242" t="s">
        <v>769</v>
      </c>
      <c r="B242" t="s">
        <v>18</v>
      </c>
      <c r="C242">
        <v>120</v>
      </c>
      <c r="D242" t="s">
        <v>10</v>
      </c>
      <c r="E242" s="32">
        <v>45191</v>
      </c>
      <c r="F242">
        <v>38</v>
      </c>
      <c r="G242">
        <v>4.2</v>
      </c>
      <c r="H242">
        <v>2024</v>
      </c>
      <c r="I242" t="s">
        <v>1062</v>
      </c>
      <c r="J242" t="s">
        <v>1087</v>
      </c>
      <c r="K242">
        <v>4</v>
      </c>
      <c r="L242" t="s">
        <v>1057</v>
      </c>
      <c r="M242">
        <v>9</v>
      </c>
    </row>
    <row r="243" spans="1:13" x14ac:dyDescent="0.3">
      <c r="A243" t="s">
        <v>771</v>
      </c>
      <c r="B243" t="s">
        <v>15</v>
      </c>
      <c r="C243">
        <v>79</v>
      </c>
      <c r="D243" t="s">
        <v>10</v>
      </c>
      <c r="E243" s="32">
        <v>45192</v>
      </c>
      <c r="F243">
        <v>215</v>
      </c>
      <c r="G243">
        <v>4.5999999999999996</v>
      </c>
      <c r="H243">
        <v>2024</v>
      </c>
      <c r="I243" t="s">
        <v>1064</v>
      </c>
      <c r="J243" t="s">
        <v>1087</v>
      </c>
      <c r="K243">
        <v>5</v>
      </c>
      <c r="L243" t="s">
        <v>1057</v>
      </c>
      <c r="M243">
        <v>9</v>
      </c>
    </row>
    <row r="244" spans="1:13" x14ac:dyDescent="0.3">
      <c r="A244" t="s">
        <v>772</v>
      </c>
      <c r="B244" t="s">
        <v>15</v>
      </c>
      <c r="C244">
        <v>45</v>
      </c>
      <c r="D244" t="s">
        <v>11</v>
      </c>
      <c r="E244" s="32">
        <v>45192</v>
      </c>
      <c r="F244">
        <v>92</v>
      </c>
      <c r="G244">
        <v>4.3</v>
      </c>
      <c r="H244">
        <v>2024</v>
      </c>
      <c r="I244" t="s">
        <v>1064</v>
      </c>
      <c r="J244" t="s">
        <v>1088</v>
      </c>
      <c r="K244">
        <v>4</v>
      </c>
      <c r="L244" t="s">
        <v>1057</v>
      </c>
      <c r="M244">
        <v>9</v>
      </c>
    </row>
    <row r="245" spans="1:13" x14ac:dyDescent="0.3">
      <c r="A245" t="s">
        <v>776</v>
      </c>
      <c r="B245" t="s">
        <v>19</v>
      </c>
      <c r="C245">
        <v>159</v>
      </c>
      <c r="D245" t="s">
        <v>9</v>
      </c>
      <c r="E245" s="32">
        <v>45193</v>
      </c>
      <c r="F245">
        <v>63</v>
      </c>
      <c r="G245">
        <v>4.2</v>
      </c>
      <c r="H245">
        <v>2024</v>
      </c>
      <c r="I245" t="s">
        <v>1065</v>
      </c>
      <c r="J245" t="s">
        <v>1089</v>
      </c>
      <c r="K245">
        <v>4</v>
      </c>
      <c r="L245" t="s">
        <v>1057</v>
      </c>
      <c r="M245">
        <v>9</v>
      </c>
    </row>
    <row r="246" spans="1:13" x14ac:dyDescent="0.3">
      <c r="A246" t="s">
        <v>777</v>
      </c>
      <c r="B246" t="s">
        <v>5</v>
      </c>
      <c r="C246">
        <v>109</v>
      </c>
      <c r="D246" t="s">
        <v>6</v>
      </c>
      <c r="E246" s="32">
        <v>45193</v>
      </c>
      <c r="F246">
        <v>52</v>
      </c>
      <c r="G246">
        <v>3.9</v>
      </c>
      <c r="H246">
        <v>2024</v>
      </c>
      <c r="I246" t="s">
        <v>1065</v>
      </c>
      <c r="J246" t="s">
        <v>1087</v>
      </c>
      <c r="K246">
        <v>4</v>
      </c>
      <c r="L246" t="s">
        <v>1057</v>
      </c>
      <c r="M246">
        <v>9</v>
      </c>
    </row>
    <row r="247" spans="1:13" x14ac:dyDescent="0.3">
      <c r="A247" t="s">
        <v>778</v>
      </c>
      <c r="B247" t="s">
        <v>15</v>
      </c>
      <c r="C247">
        <v>107</v>
      </c>
      <c r="D247" t="s">
        <v>6</v>
      </c>
      <c r="E247" s="32">
        <v>45193</v>
      </c>
      <c r="F247">
        <v>60</v>
      </c>
      <c r="G247">
        <v>4.2</v>
      </c>
      <c r="H247">
        <v>2024</v>
      </c>
      <c r="I247" t="s">
        <v>1065</v>
      </c>
      <c r="J247" t="s">
        <v>1087</v>
      </c>
      <c r="K247">
        <v>4</v>
      </c>
      <c r="L247" t="s">
        <v>1057</v>
      </c>
      <c r="M247">
        <v>9</v>
      </c>
    </row>
    <row r="248" spans="1:13" x14ac:dyDescent="0.3">
      <c r="A248" t="s">
        <v>789</v>
      </c>
      <c r="B248" t="s">
        <v>19</v>
      </c>
      <c r="C248">
        <v>64</v>
      </c>
      <c r="D248" t="s">
        <v>13</v>
      </c>
      <c r="E248" s="32">
        <v>45198</v>
      </c>
      <c r="F248">
        <v>112</v>
      </c>
      <c r="G248">
        <v>2</v>
      </c>
      <c r="H248">
        <v>2024</v>
      </c>
      <c r="I248" t="s">
        <v>1062</v>
      </c>
      <c r="J248" t="s">
        <v>1087</v>
      </c>
      <c r="K248">
        <v>2</v>
      </c>
      <c r="L248" t="s">
        <v>1057</v>
      </c>
      <c r="M248">
        <v>9</v>
      </c>
    </row>
    <row r="249" spans="1:13" x14ac:dyDescent="0.3">
      <c r="A249" t="s">
        <v>791</v>
      </c>
      <c r="B249" t="s">
        <v>5</v>
      </c>
      <c r="C249">
        <v>124</v>
      </c>
      <c r="D249" t="s">
        <v>11</v>
      </c>
      <c r="E249" s="32">
        <v>45198</v>
      </c>
      <c r="F249">
        <v>48</v>
      </c>
      <c r="G249">
        <v>3.7</v>
      </c>
      <c r="H249">
        <v>2024</v>
      </c>
      <c r="I249" t="s">
        <v>1062</v>
      </c>
      <c r="J249" t="s">
        <v>1089</v>
      </c>
      <c r="K249">
        <v>4</v>
      </c>
      <c r="L249" t="s">
        <v>1057</v>
      </c>
      <c r="M249">
        <v>9</v>
      </c>
    </row>
    <row r="250" spans="1:13" x14ac:dyDescent="0.3">
      <c r="A250" t="s">
        <v>792</v>
      </c>
      <c r="B250" t="s">
        <v>19</v>
      </c>
      <c r="C250">
        <v>125</v>
      </c>
      <c r="D250" t="s">
        <v>9</v>
      </c>
      <c r="E250" s="32">
        <v>45198</v>
      </c>
      <c r="F250">
        <v>116</v>
      </c>
      <c r="G250">
        <v>4.4000000000000004</v>
      </c>
      <c r="H250">
        <v>2024</v>
      </c>
      <c r="I250" t="s">
        <v>1062</v>
      </c>
      <c r="J250" t="s">
        <v>1089</v>
      </c>
      <c r="K250">
        <v>4</v>
      </c>
      <c r="L250" t="s">
        <v>1057</v>
      </c>
      <c r="M250">
        <v>9</v>
      </c>
    </row>
    <row r="251" spans="1:13" x14ac:dyDescent="0.3">
      <c r="A251" t="s">
        <v>798</v>
      </c>
      <c r="B251" t="s">
        <v>19</v>
      </c>
      <c r="C251">
        <v>119</v>
      </c>
      <c r="D251" t="s">
        <v>10</v>
      </c>
      <c r="E251" s="32">
        <v>45199</v>
      </c>
      <c r="F251">
        <v>96</v>
      </c>
      <c r="G251">
        <v>3.1</v>
      </c>
      <c r="H251">
        <v>2024</v>
      </c>
      <c r="I251" t="s">
        <v>1064</v>
      </c>
      <c r="J251" t="s">
        <v>1087</v>
      </c>
      <c r="K251">
        <v>3</v>
      </c>
      <c r="L251" t="s">
        <v>1057</v>
      </c>
      <c r="M251">
        <v>9</v>
      </c>
    </row>
    <row r="252" spans="1:13" x14ac:dyDescent="0.3">
      <c r="A252" t="s">
        <v>799</v>
      </c>
      <c r="B252" t="s">
        <v>5</v>
      </c>
      <c r="C252">
        <v>61</v>
      </c>
      <c r="D252" t="s">
        <v>11</v>
      </c>
      <c r="E252" s="32">
        <v>45199</v>
      </c>
      <c r="F252">
        <v>117</v>
      </c>
      <c r="G252">
        <v>4.0999999999999996</v>
      </c>
      <c r="H252">
        <v>2024</v>
      </c>
      <c r="I252" t="s">
        <v>1064</v>
      </c>
      <c r="J252" t="s">
        <v>1087</v>
      </c>
      <c r="K252">
        <v>4</v>
      </c>
      <c r="L252" t="s">
        <v>1057</v>
      </c>
      <c r="M252">
        <v>9</v>
      </c>
    </row>
    <row r="253" spans="1:13" x14ac:dyDescent="0.3">
      <c r="A253" t="s">
        <v>804</v>
      </c>
      <c r="B253" t="s">
        <v>14</v>
      </c>
      <c r="C253">
        <v>78</v>
      </c>
      <c r="D253" t="s">
        <v>13</v>
      </c>
      <c r="E253" s="32">
        <v>45200</v>
      </c>
      <c r="F253">
        <v>135</v>
      </c>
      <c r="G253">
        <v>4.0999999999999996</v>
      </c>
      <c r="H253">
        <v>2024</v>
      </c>
      <c r="I253" t="s">
        <v>1065</v>
      </c>
      <c r="J253" t="s">
        <v>1087</v>
      </c>
      <c r="K253">
        <v>4</v>
      </c>
      <c r="L253" t="s">
        <v>1058</v>
      </c>
      <c r="M253">
        <v>10</v>
      </c>
    </row>
    <row r="254" spans="1:13" x14ac:dyDescent="0.3">
      <c r="A254" t="s">
        <v>805</v>
      </c>
      <c r="B254" t="s">
        <v>19</v>
      </c>
      <c r="C254">
        <v>82</v>
      </c>
      <c r="D254" t="s">
        <v>9</v>
      </c>
      <c r="E254" s="32">
        <v>45200</v>
      </c>
      <c r="F254">
        <v>99</v>
      </c>
      <c r="G254">
        <v>4.2</v>
      </c>
      <c r="H254">
        <v>2024</v>
      </c>
      <c r="I254" t="s">
        <v>1065</v>
      </c>
      <c r="J254" t="s">
        <v>1087</v>
      </c>
      <c r="K254">
        <v>4</v>
      </c>
      <c r="L254" t="s">
        <v>1058</v>
      </c>
      <c r="M254">
        <v>10</v>
      </c>
    </row>
    <row r="255" spans="1:13" x14ac:dyDescent="0.3">
      <c r="A255" t="s">
        <v>806</v>
      </c>
      <c r="B255" t="s">
        <v>18</v>
      </c>
      <c r="C255">
        <v>149</v>
      </c>
      <c r="D255" t="s">
        <v>11</v>
      </c>
      <c r="E255" s="32">
        <v>45200</v>
      </c>
      <c r="F255">
        <v>130</v>
      </c>
      <c r="G255">
        <v>3.3</v>
      </c>
      <c r="H255">
        <v>2024</v>
      </c>
      <c r="I255" t="s">
        <v>1065</v>
      </c>
      <c r="J255" t="s">
        <v>1089</v>
      </c>
      <c r="K255">
        <v>3</v>
      </c>
      <c r="L255" t="s">
        <v>1058</v>
      </c>
      <c r="M255">
        <v>10</v>
      </c>
    </row>
    <row r="256" spans="1:13" x14ac:dyDescent="0.3">
      <c r="A256" t="s">
        <v>807</v>
      </c>
      <c r="B256" t="s">
        <v>15</v>
      </c>
      <c r="C256">
        <v>56</v>
      </c>
      <c r="D256" t="s">
        <v>6</v>
      </c>
      <c r="E256" s="32">
        <v>45200</v>
      </c>
      <c r="F256">
        <v>96</v>
      </c>
      <c r="G256">
        <v>4.7</v>
      </c>
      <c r="H256">
        <v>2024</v>
      </c>
      <c r="I256" t="s">
        <v>1065</v>
      </c>
      <c r="J256" t="s">
        <v>1088</v>
      </c>
      <c r="K256">
        <v>5</v>
      </c>
      <c r="L256" t="s">
        <v>1058</v>
      </c>
      <c r="M256">
        <v>10</v>
      </c>
    </row>
    <row r="257" spans="1:13" x14ac:dyDescent="0.3">
      <c r="A257" t="s">
        <v>809</v>
      </c>
      <c r="B257" t="s">
        <v>5</v>
      </c>
      <c r="C257">
        <v>131</v>
      </c>
      <c r="D257" t="s">
        <v>10</v>
      </c>
      <c r="E257" s="32">
        <v>45200</v>
      </c>
      <c r="F257">
        <v>69</v>
      </c>
      <c r="G257">
        <v>4.7</v>
      </c>
      <c r="H257">
        <v>2024</v>
      </c>
      <c r="I257" t="s">
        <v>1065</v>
      </c>
      <c r="J257" t="s">
        <v>1089</v>
      </c>
      <c r="K257">
        <v>5</v>
      </c>
      <c r="L257" t="s">
        <v>1058</v>
      </c>
      <c r="M257">
        <v>10</v>
      </c>
    </row>
    <row r="258" spans="1:13" x14ac:dyDescent="0.3">
      <c r="A258" t="s">
        <v>810</v>
      </c>
      <c r="B258" t="s">
        <v>5</v>
      </c>
      <c r="C258">
        <v>109</v>
      </c>
      <c r="D258" t="s">
        <v>10</v>
      </c>
      <c r="E258" s="32">
        <v>45200</v>
      </c>
      <c r="F258">
        <v>44</v>
      </c>
      <c r="G258">
        <v>4.5999999999999996</v>
      </c>
      <c r="H258">
        <v>2024</v>
      </c>
      <c r="I258" t="s">
        <v>1065</v>
      </c>
      <c r="J258" t="s">
        <v>1087</v>
      </c>
      <c r="K258">
        <v>5</v>
      </c>
      <c r="L258" t="s">
        <v>1058</v>
      </c>
      <c r="M258">
        <v>10</v>
      </c>
    </row>
    <row r="259" spans="1:13" x14ac:dyDescent="0.3">
      <c r="A259" t="s">
        <v>811</v>
      </c>
      <c r="B259" t="s">
        <v>15</v>
      </c>
      <c r="C259">
        <v>142</v>
      </c>
      <c r="D259" t="s">
        <v>10</v>
      </c>
      <c r="E259" s="32">
        <v>45200</v>
      </c>
      <c r="F259">
        <v>44</v>
      </c>
      <c r="G259">
        <v>4.8</v>
      </c>
      <c r="H259">
        <v>2024</v>
      </c>
      <c r="I259" t="s">
        <v>1065</v>
      </c>
      <c r="J259" t="s">
        <v>1089</v>
      </c>
      <c r="K259">
        <v>5</v>
      </c>
      <c r="L259" t="s">
        <v>1058</v>
      </c>
      <c r="M259">
        <v>10</v>
      </c>
    </row>
    <row r="260" spans="1:13" x14ac:dyDescent="0.3">
      <c r="A260" t="s">
        <v>817</v>
      </c>
      <c r="B260" t="s">
        <v>15</v>
      </c>
      <c r="C260">
        <v>82</v>
      </c>
      <c r="D260" t="s">
        <v>9</v>
      </c>
      <c r="E260" s="32">
        <v>45202</v>
      </c>
      <c r="F260">
        <v>130</v>
      </c>
      <c r="G260">
        <v>4.4000000000000004</v>
      </c>
      <c r="H260">
        <v>2024</v>
      </c>
      <c r="I260" t="s">
        <v>1067</v>
      </c>
      <c r="J260" t="s">
        <v>1087</v>
      </c>
      <c r="K260">
        <v>4</v>
      </c>
      <c r="L260" t="s">
        <v>1058</v>
      </c>
      <c r="M260">
        <v>10</v>
      </c>
    </row>
    <row r="261" spans="1:13" x14ac:dyDescent="0.3">
      <c r="A261" t="s">
        <v>821</v>
      </c>
      <c r="B261" t="s">
        <v>14</v>
      </c>
      <c r="C261">
        <v>138</v>
      </c>
      <c r="D261" t="s">
        <v>13</v>
      </c>
      <c r="E261" s="32">
        <v>45204</v>
      </c>
      <c r="F261">
        <v>155</v>
      </c>
      <c r="G261">
        <v>2.7</v>
      </c>
      <c r="H261">
        <v>2024</v>
      </c>
      <c r="I261" t="s">
        <v>1066</v>
      </c>
      <c r="J261" t="s">
        <v>1089</v>
      </c>
      <c r="K261">
        <v>3</v>
      </c>
      <c r="L261" t="s">
        <v>1058</v>
      </c>
      <c r="M261">
        <v>10</v>
      </c>
    </row>
    <row r="262" spans="1:13" x14ac:dyDescent="0.3">
      <c r="A262" t="s">
        <v>822</v>
      </c>
      <c r="B262" t="s">
        <v>18</v>
      </c>
      <c r="C262">
        <v>88</v>
      </c>
      <c r="D262" t="s">
        <v>9</v>
      </c>
      <c r="E262" s="32">
        <v>45204</v>
      </c>
      <c r="F262">
        <v>100</v>
      </c>
      <c r="G262">
        <v>4.9000000000000004</v>
      </c>
      <c r="H262">
        <v>2024</v>
      </c>
      <c r="I262" t="s">
        <v>1066</v>
      </c>
      <c r="J262" t="s">
        <v>1087</v>
      </c>
      <c r="K262">
        <v>5</v>
      </c>
      <c r="L262" t="s">
        <v>1058</v>
      </c>
      <c r="M262">
        <v>10</v>
      </c>
    </row>
    <row r="263" spans="1:13" x14ac:dyDescent="0.3">
      <c r="A263" t="s">
        <v>827</v>
      </c>
      <c r="B263" t="s">
        <v>15</v>
      </c>
      <c r="C263">
        <v>90</v>
      </c>
      <c r="D263" t="s">
        <v>13</v>
      </c>
      <c r="E263" s="32">
        <v>45205</v>
      </c>
      <c r="F263">
        <v>84</v>
      </c>
      <c r="G263">
        <v>3.9</v>
      </c>
      <c r="H263">
        <v>2024</v>
      </c>
      <c r="I263" t="s">
        <v>1062</v>
      </c>
      <c r="J263" t="s">
        <v>1087</v>
      </c>
      <c r="K263">
        <v>4</v>
      </c>
      <c r="L263" t="s">
        <v>1058</v>
      </c>
      <c r="M263">
        <v>10</v>
      </c>
    </row>
    <row r="264" spans="1:13" x14ac:dyDescent="0.3">
      <c r="A264" t="s">
        <v>832</v>
      </c>
      <c r="B264" t="s">
        <v>15</v>
      </c>
      <c r="C264">
        <v>66</v>
      </c>
      <c r="D264" t="s">
        <v>6</v>
      </c>
      <c r="E264" s="32">
        <v>45206</v>
      </c>
      <c r="F264">
        <v>136</v>
      </c>
      <c r="G264">
        <v>4.7</v>
      </c>
      <c r="H264">
        <v>2024</v>
      </c>
      <c r="I264" t="s">
        <v>1064</v>
      </c>
      <c r="J264" t="s">
        <v>1087</v>
      </c>
      <c r="K264">
        <v>5</v>
      </c>
      <c r="L264" t="s">
        <v>1058</v>
      </c>
      <c r="M264">
        <v>10</v>
      </c>
    </row>
    <row r="265" spans="1:13" x14ac:dyDescent="0.3">
      <c r="A265" t="s">
        <v>836</v>
      </c>
      <c r="B265" t="s">
        <v>14</v>
      </c>
      <c r="C265">
        <v>94</v>
      </c>
      <c r="D265" t="s">
        <v>6</v>
      </c>
      <c r="E265" s="32">
        <v>45208</v>
      </c>
      <c r="F265">
        <v>120</v>
      </c>
      <c r="G265">
        <v>3.4</v>
      </c>
      <c r="H265">
        <v>2024</v>
      </c>
      <c r="I265" t="s">
        <v>1063</v>
      </c>
      <c r="J265" t="s">
        <v>1087</v>
      </c>
      <c r="K265">
        <v>3</v>
      </c>
      <c r="L265" t="s">
        <v>1058</v>
      </c>
      <c r="M265">
        <v>10</v>
      </c>
    </row>
    <row r="266" spans="1:13" x14ac:dyDescent="0.3">
      <c r="A266" t="s">
        <v>842</v>
      </c>
      <c r="B266" t="s">
        <v>19</v>
      </c>
      <c r="C266">
        <v>59</v>
      </c>
      <c r="D266" t="s">
        <v>6</v>
      </c>
      <c r="E266" s="32">
        <v>45209</v>
      </c>
      <c r="F266">
        <v>152</v>
      </c>
      <c r="G266">
        <v>4.8</v>
      </c>
      <c r="H266">
        <v>2024</v>
      </c>
      <c r="I266" t="s">
        <v>1067</v>
      </c>
      <c r="J266" t="s">
        <v>1088</v>
      </c>
      <c r="K266">
        <v>5</v>
      </c>
      <c r="L266" t="s">
        <v>1058</v>
      </c>
      <c r="M266">
        <v>10</v>
      </c>
    </row>
    <row r="267" spans="1:13" x14ac:dyDescent="0.3">
      <c r="A267" t="s">
        <v>843</v>
      </c>
      <c r="B267" t="s">
        <v>19</v>
      </c>
      <c r="C267">
        <v>90</v>
      </c>
      <c r="D267" t="s">
        <v>9</v>
      </c>
      <c r="E267" s="32">
        <v>45209</v>
      </c>
      <c r="F267">
        <v>48</v>
      </c>
      <c r="G267">
        <v>4.7</v>
      </c>
      <c r="H267">
        <v>2024</v>
      </c>
      <c r="I267" t="s">
        <v>1067</v>
      </c>
      <c r="J267" t="s">
        <v>1087</v>
      </c>
      <c r="K267">
        <v>5</v>
      </c>
      <c r="L267" t="s">
        <v>1058</v>
      </c>
      <c r="M267">
        <v>10</v>
      </c>
    </row>
    <row r="268" spans="1:13" x14ac:dyDescent="0.3">
      <c r="A268" t="s">
        <v>844</v>
      </c>
      <c r="B268" t="s">
        <v>18</v>
      </c>
      <c r="C268">
        <v>55</v>
      </c>
      <c r="D268" t="s">
        <v>9</v>
      </c>
      <c r="E268" s="32">
        <v>45209</v>
      </c>
      <c r="F268">
        <v>25</v>
      </c>
      <c r="G268">
        <v>4.7</v>
      </c>
      <c r="H268">
        <v>2024</v>
      </c>
      <c r="I268" t="s">
        <v>1067</v>
      </c>
      <c r="J268" t="s">
        <v>1088</v>
      </c>
      <c r="K268">
        <v>5</v>
      </c>
      <c r="L268" t="s">
        <v>1058</v>
      </c>
      <c r="M268">
        <v>10</v>
      </c>
    </row>
    <row r="269" spans="1:13" x14ac:dyDescent="0.3">
      <c r="A269" t="s">
        <v>847</v>
      </c>
      <c r="B269" t="s">
        <v>5</v>
      </c>
      <c r="C269">
        <v>69</v>
      </c>
      <c r="D269" t="s">
        <v>6</v>
      </c>
      <c r="E269" s="32">
        <v>45210</v>
      </c>
      <c r="F269">
        <v>36</v>
      </c>
      <c r="G269">
        <v>4.5</v>
      </c>
      <c r="H269">
        <v>2024</v>
      </c>
      <c r="I269" t="s">
        <v>1068</v>
      </c>
      <c r="J269" t="s">
        <v>1087</v>
      </c>
      <c r="K269">
        <v>5</v>
      </c>
      <c r="L269" t="s">
        <v>1058</v>
      </c>
      <c r="M269">
        <v>10</v>
      </c>
    </row>
    <row r="270" spans="1:13" x14ac:dyDescent="0.3">
      <c r="A270" t="s">
        <v>850</v>
      </c>
      <c r="B270" t="s">
        <v>5</v>
      </c>
      <c r="C270">
        <v>120</v>
      </c>
      <c r="D270" t="s">
        <v>10</v>
      </c>
      <c r="E270" s="32">
        <v>45211</v>
      </c>
      <c r="F270">
        <v>195</v>
      </c>
      <c r="G270">
        <v>4.3</v>
      </c>
      <c r="H270">
        <v>2024</v>
      </c>
      <c r="I270" t="s">
        <v>1066</v>
      </c>
      <c r="J270" t="s">
        <v>1087</v>
      </c>
      <c r="K270">
        <v>4</v>
      </c>
      <c r="L270" t="s">
        <v>1058</v>
      </c>
      <c r="M270">
        <v>10</v>
      </c>
    </row>
    <row r="271" spans="1:13" x14ac:dyDescent="0.3">
      <c r="A271" t="s">
        <v>852</v>
      </c>
      <c r="B271" t="s">
        <v>18</v>
      </c>
      <c r="C271">
        <v>124</v>
      </c>
      <c r="D271" t="s">
        <v>6</v>
      </c>
      <c r="E271" s="32">
        <v>45213</v>
      </c>
      <c r="F271">
        <v>29</v>
      </c>
      <c r="G271">
        <v>4.8</v>
      </c>
      <c r="H271">
        <v>2024</v>
      </c>
      <c r="I271" t="s">
        <v>1064</v>
      </c>
      <c r="J271" t="s">
        <v>1089</v>
      </c>
      <c r="K271">
        <v>5</v>
      </c>
      <c r="L271" t="s">
        <v>1058</v>
      </c>
      <c r="M271">
        <v>10</v>
      </c>
    </row>
    <row r="272" spans="1:13" x14ac:dyDescent="0.3">
      <c r="A272" t="s">
        <v>856</v>
      </c>
      <c r="B272" t="s">
        <v>15</v>
      </c>
      <c r="C272">
        <v>125</v>
      </c>
      <c r="D272" t="s">
        <v>11</v>
      </c>
      <c r="E272" s="32">
        <v>45213</v>
      </c>
      <c r="F272">
        <v>82</v>
      </c>
      <c r="G272">
        <v>4.5999999999999996</v>
      </c>
      <c r="H272">
        <v>2024</v>
      </c>
      <c r="I272" t="s">
        <v>1064</v>
      </c>
      <c r="J272" t="s">
        <v>1089</v>
      </c>
      <c r="K272">
        <v>5</v>
      </c>
      <c r="L272" t="s">
        <v>1058</v>
      </c>
      <c r="M272">
        <v>10</v>
      </c>
    </row>
    <row r="273" spans="1:13" x14ac:dyDescent="0.3">
      <c r="A273" t="s">
        <v>862</v>
      </c>
      <c r="B273" t="s">
        <v>15</v>
      </c>
      <c r="C273">
        <v>77</v>
      </c>
      <c r="D273" t="s">
        <v>9</v>
      </c>
      <c r="E273" s="32">
        <v>45214</v>
      </c>
      <c r="F273">
        <v>78</v>
      </c>
      <c r="G273">
        <v>3.9</v>
      </c>
      <c r="H273">
        <v>2024</v>
      </c>
      <c r="I273" t="s">
        <v>1065</v>
      </c>
      <c r="J273" t="s">
        <v>1087</v>
      </c>
      <c r="K273">
        <v>4</v>
      </c>
      <c r="L273" t="s">
        <v>1058</v>
      </c>
      <c r="M273">
        <v>10</v>
      </c>
    </row>
    <row r="274" spans="1:13" x14ac:dyDescent="0.3">
      <c r="A274" t="s">
        <v>864</v>
      </c>
      <c r="B274" t="s">
        <v>15</v>
      </c>
      <c r="C274">
        <v>77</v>
      </c>
      <c r="D274" t="s">
        <v>9</v>
      </c>
      <c r="E274" s="32">
        <v>45215</v>
      </c>
      <c r="F274">
        <v>176</v>
      </c>
      <c r="G274">
        <v>1.5</v>
      </c>
      <c r="H274">
        <v>2024</v>
      </c>
      <c r="I274" t="s">
        <v>1063</v>
      </c>
      <c r="J274" t="s">
        <v>1087</v>
      </c>
      <c r="K274">
        <v>2</v>
      </c>
      <c r="L274" t="s">
        <v>1058</v>
      </c>
      <c r="M274">
        <v>10</v>
      </c>
    </row>
    <row r="275" spans="1:13" x14ac:dyDescent="0.3">
      <c r="A275" t="s">
        <v>865</v>
      </c>
      <c r="B275" t="s">
        <v>19</v>
      </c>
      <c r="C275">
        <v>103</v>
      </c>
      <c r="D275" t="s">
        <v>6</v>
      </c>
      <c r="E275" s="32">
        <v>45215</v>
      </c>
      <c r="F275">
        <v>78</v>
      </c>
      <c r="G275">
        <v>3</v>
      </c>
      <c r="H275">
        <v>2024</v>
      </c>
      <c r="I275" t="s">
        <v>1063</v>
      </c>
      <c r="J275" t="s">
        <v>1087</v>
      </c>
      <c r="K275">
        <v>3</v>
      </c>
      <c r="L275" t="s">
        <v>1058</v>
      </c>
      <c r="M275">
        <v>10</v>
      </c>
    </row>
    <row r="276" spans="1:13" x14ac:dyDescent="0.3">
      <c r="A276" t="s">
        <v>866</v>
      </c>
      <c r="B276" t="s">
        <v>5</v>
      </c>
      <c r="C276">
        <v>32</v>
      </c>
      <c r="D276" t="s">
        <v>9</v>
      </c>
      <c r="E276" s="32">
        <v>45215</v>
      </c>
      <c r="F276">
        <v>42</v>
      </c>
      <c r="G276">
        <v>4.2</v>
      </c>
      <c r="H276">
        <v>2024</v>
      </c>
      <c r="I276" t="s">
        <v>1063</v>
      </c>
      <c r="J276" t="s">
        <v>1088</v>
      </c>
      <c r="K276">
        <v>4</v>
      </c>
      <c r="L276" t="s">
        <v>1058</v>
      </c>
      <c r="M276">
        <v>10</v>
      </c>
    </row>
    <row r="277" spans="1:13" x14ac:dyDescent="0.3">
      <c r="A277" t="s">
        <v>869</v>
      </c>
      <c r="B277" t="s">
        <v>15</v>
      </c>
      <c r="C277">
        <v>137</v>
      </c>
      <c r="D277" t="s">
        <v>10</v>
      </c>
      <c r="E277" s="32">
        <v>45216</v>
      </c>
      <c r="F277">
        <v>45</v>
      </c>
      <c r="G277">
        <v>4.4000000000000004</v>
      </c>
      <c r="H277">
        <v>2024</v>
      </c>
      <c r="I277" t="s">
        <v>1067</v>
      </c>
      <c r="J277" t="s">
        <v>1089</v>
      </c>
      <c r="K277">
        <v>4</v>
      </c>
      <c r="L277" t="s">
        <v>1058</v>
      </c>
      <c r="M277">
        <v>10</v>
      </c>
    </row>
    <row r="278" spans="1:13" x14ac:dyDescent="0.3">
      <c r="A278" t="s">
        <v>870</v>
      </c>
      <c r="B278" t="s">
        <v>14</v>
      </c>
      <c r="C278">
        <v>96</v>
      </c>
      <c r="D278" t="s">
        <v>6</v>
      </c>
      <c r="E278" s="32">
        <v>45216</v>
      </c>
      <c r="F278">
        <v>215</v>
      </c>
      <c r="G278">
        <v>4</v>
      </c>
      <c r="H278">
        <v>2024</v>
      </c>
      <c r="I278" t="s">
        <v>1067</v>
      </c>
      <c r="J278" t="s">
        <v>1087</v>
      </c>
      <c r="K278">
        <v>4</v>
      </c>
      <c r="L278" t="s">
        <v>1058</v>
      </c>
      <c r="M278">
        <v>10</v>
      </c>
    </row>
    <row r="279" spans="1:13" x14ac:dyDescent="0.3">
      <c r="A279" t="s">
        <v>871</v>
      </c>
      <c r="B279" t="s">
        <v>18</v>
      </c>
      <c r="C279">
        <v>155</v>
      </c>
      <c r="D279" t="s">
        <v>6</v>
      </c>
      <c r="E279" s="32">
        <v>45217</v>
      </c>
      <c r="F279">
        <v>72</v>
      </c>
      <c r="G279">
        <v>4.7</v>
      </c>
      <c r="H279">
        <v>2024</v>
      </c>
      <c r="I279" t="s">
        <v>1068</v>
      </c>
      <c r="J279" t="s">
        <v>1089</v>
      </c>
      <c r="K279">
        <v>5</v>
      </c>
      <c r="L279" t="s">
        <v>1058</v>
      </c>
      <c r="M279">
        <v>10</v>
      </c>
    </row>
    <row r="280" spans="1:13" x14ac:dyDescent="0.3">
      <c r="A280" t="s">
        <v>873</v>
      </c>
      <c r="B280" t="s">
        <v>18</v>
      </c>
      <c r="C280">
        <v>127</v>
      </c>
      <c r="D280" t="s">
        <v>6</v>
      </c>
      <c r="E280" s="32">
        <v>45217</v>
      </c>
      <c r="F280">
        <v>165</v>
      </c>
      <c r="G280">
        <v>2.5</v>
      </c>
      <c r="H280">
        <v>2024</v>
      </c>
      <c r="I280" t="s">
        <v>1068</v>
      </c>
      <c r="J280" t="s">
        <v>1089</v>
      </c>
      <c r="K280">
        <v>3</v>
      </c>
      <c r="L280" t="s">
        <v>1058</v>
      </c>
      <c r="M280">
        <v>10</v>
      </c>
    </row>
    <row r="281" spans="1:13" x14ac:dyDescent="0.3">
      <c r="A281" t="s">
        <v>878</v>
      </c>
      <c r="B281" t="s">
        <v>19</v>
      </c>
      <c r="C281">
        <v>43</v>
      </c>
      <c r="D281" t="s">
        <v>9</v>
      </c>
      <c r="E281" s="32">
        <v>45218</v>
      </c>
      <c r="F281">
        <v>84</v>
      </c>
      <c r="G281">
        <v>3.6</v>
      </c>
      <c r="H281">
        <v>2024</v>
      </c>
      <c r="I281" t="s">
        <v>1066</v>
      </c>
      <c r="J281" t="s">
        <v>1088</v>
      </c>
      <c r="K281">
        <v>4</v>
      </c>
      <c r="L281" t="s">
        <v>1058</v>
      </c>
      <c r="M281">
        <v>10</v>
      </c>
    </row>
    <row r="282" spans="1:13" x14ac:dyDescent="0.3">
      <c r="A282" t="s">
        <v>879</v>
      </c>
      <c r="B282" t="s">
        <v>14</v>
      </c>
      <c r="C282">
        <v>124</v>
      </c>
      <c r="D282" t="s">
        <v>6</v>
      </c>
      <c r="E282" s="32">
        <v>45218</v>
      </c>
      <c r="F282">
        <v>42</v>
      </c>
      <c r="G282">
        <v>3.7</v>
      </c>
      <c r="H282">
        <v>2024</v>
      </c>
      <c r="I282" t="s">
        <v>1066</v>
      </c>
      <c r="J282" t="s">
        <v>1089</v>
      </c>
      <c r="K282">
        <v>4</v>
      </c>
      <c r="L282" t="s">
        <v>1058</v>
      </c>
      <c r="M282">
        <v>10</v>
      </c>
    </row>
    <row r="283" spans="1:13" x14ac:dyDescent="0.3">
      <c r="A283" t="s">
        <v>881</v>
      </c>
      <c r="B283" t="s">
        <v>19</v>
      </c>
      <c r="C283">
        <v>126</v>
      </c>
      <c r="D283" t="s">
        <v>13</v>
      </c>
      <c r="E283" s="32">
        <v>45219</v>
      </c>
      <c r="F283">
        <v>80</v>
      </c>
      <c r="G283">
        <v>4.7</v>
      </c>
      <c r="H283">
        <v>2024</v>
      </c>
      <c r="I283" t="s">
        <v>1062</v>
      </c>
      <c r="J283" t="s">
        <v>1089</v>
      </c>
      <c r="K283">
        <v>5</v>
      </c>
      <c r="L283" t="s">
        <v>1058</v>
      </c>
      <c r="M283">
        <v>10</v>
      </c>
    </row>
    <row r="284" spans="1:13" x14ac:dyDescent="0.3">
      <c r="A284" t="s">
        <v>886</v>
      </c>
      <c r="B284" t="s">
        <v>5</v>
      </c>
      <c r="C284">
        <v>54</v>
      </c>
      <c r="D284" t="s">
        <v>13</v>
      </c>
      <c r="E284" s="32">
        <v>45221</v>
      </c>
      <c r="F284">
        <v>120</v>
      </c>
      <c r="G284">
        <v>4.7</v>
      </c>
      <c r="H284">
        <v>2024</v>
      </c>
      <c r="I284" t="s">
        <v>1065</v>
      </c>
      <c r="J284" t="s">
        <v>1088</v>
      </c>
      <c r="K284">
        <v>5</v>
      </c>
      <c r="L284" t="s">
        <v>1058</v>
      </c>
      <c r="M284">
        <v>10</v>
      </c>
    </row>
    <row r="285" spans="1:13" x14ac:dyDescent="0.3">
      <c r="A285" t="s">
        <v>888</v>
      </c>
      <c r="B285" t="s">
        <v>5</v>
      </c>
      <c r="C285">
        <v>76</v>
      </c>
      <c r="D285" t="s">
        <v>6</v>
      </c>
      <c r="E285" s="32">
        <v>45221</v>
      </c>
      <c r="F285">
        <v>80</v>
      </c>
      <c r="G285">
        <v>4.5</v>
      </c>
      <c r="H285">
        <v>2024</v>
      </c>
      <c r="I285" t="s">
        <v>1065</v>
      </c>
      <c r="J285" t="s">
        <v>1087</v>
      </c>
      <c r="K285">
        <v>5</v>
      </c>
      <c r="L285" t="s">
        <v>1058</v>
      </c>
      <c r="M285">
        <v>10</v>
      </c>
    </row>
    <row r="286" spans="1:13" x14ac:dyDescent="0.3">
      <c r="A286" t="s">
        <v>889</v>
      </c>
      <c r="B286" t="s">
        <v>5</v>
      </c>
      <c r="C286">
        <v>37</v>
      </c>
      <c r="D286" t="s">
        <v>10</v>
      </c>
      <c r="E286" s="32">
        <v>45222</v>
      </c>
      <c r="F286">
        <v>117</v>
      </c>
      <c r="G286">
        <v>4</v>
      </c>
      <c r="H286">
        <v>2024</v>
      </c>
      <c r="I286" t="s">
        <v>1063</v>
      </c>
      <c r="J286" t="s">
        <v>1088</v>
      </c>
      <c r="K286">
        <v>4</v>
      </c>
      <c r="L286" t="s">
        <v>1058</v>
      </c>
      <c r="M286">
        <v>10</v>
      </c>
    </row>
    <row r="287" spans="1:13" x14ac:dyDescent="0.3">
      <c r="A287" t="s">
        <v>899</v>
      </c>
      <c r="B287" t="s">
        <v>14</v>
      </c>
      <c r="C287">
        <v>171</v>
      </c>
      <c r="D287" t="s">
        <v>10</v>
      </c>
      <c r="E287" s="32">
        <v>45225</v>
      </c>
      <c r="F287">
        <v>84</v>
      </c>
      <c r="G287">
        <v>4.4000000000000004</v>
      </c>
      <c r="H287">
        <v>2024</v>
      </c>
      <c r="I287" t="s">
        <v>1066</v>
      </c>
      <c r="J287" t="s">
        <v>1089</v>
      </c>
      <c r="K287">
        <v>4</v>
      </c>
      <c r="L287" t="s">
        <v>1058</v>
      </c>
      <c r="M287">
        <v>10</v>
      </c>
    </row>
    <row r="288" spans="1:13" x14ac:dyDescent="0.3">
      <c r="A288" t="s">
        <v>904</v>
      </c>
      <c r="B288" t="s">
        <v>14</v>
      </c>
      <c r="C288">
        <v>143</v>
      </c>
      <c r="D288" t="s">
        <v>13</v>
      </c>
      <c r="E288" s="32">
        <v>45227</v>
      </c>
      <c r="F288">
        <v>58</v>
      </c>
      <c r="G288">
        <v>4.3</v>
      </c>
      <c r="H288">
        <v>2024</v>
      </c>
      <c r="I288" t="s">
        <v>1064</v>
      </c>
      <c r="J288" t="s">
        <v>1089</v>
      </c>
      <c r="K288">
        <v>4</v>
      </c>
      <c r="L288" t="s">
        <v>1058</v>
      </c>
      <c r="M288">
        <v>10</v>
      </c>
    </row>
    <row r="289" spans="1:13" x14ac:dyDescent="0.3">
      <c r="A289" t="s">
        <v>905</v>
      </c>
      <c r="B289" t="s">
        <v>14</v>
      </c>
      <c r="C289">
        <v>64</v>
      </c>
      <c r="D289" t="s">
        <v>11</v>
      </c>
      <c r="E289" s="32">
        <v>45227</v>
      </c>
      <c r="F289">
        <v>185</v>
      </c>
      <c r="G289">
        <v>2.2000000000000002</v>
      </c>
      <c r="H289">
        <v>2024</v>
      </c>
      <c r="I289" t="s">
        <v>1064</v>
      </c>
      <c r="J289" t="s">
        <v>1087</v>
      </c>
      <c r="K289">
        <v>2</v>
      </c>
      <c r="L289" t="s">
        <v>1058</v>
      </c>
      <c r="M289">
        <v>10</v>
      </c>
    </row>
    <row r="290" spans="1:13" x14ac:dyDescent="0.3">
      <c r="A290" t="s">
        <v>906</v>
      </c>
      <c r="B290" t="s">
        <v>14</v>
      </c>
      <c r="C290">
        <v>69</v>
      </c>
      <c r="D290" t="s">
        <v>11</v>
      </c>
      <c r="E290" s="32">
        <v>45227</v>
      </c>
      <c r="F290">
        <v>40</v>
      </c>
      <c r="G290">
        <v>4.8</v>
      </c>
      <c r="H290">
        <v>2024</v>
      </c>
      <c r="I290" t="s">
        <v>1064</v>
      </c>
      <c r="J290" t="s">
        <v>1087</v>
      </c>
      <c r="K290">
        <v>5</v>
      </c>
      <c r="L290" t="s">
        <v>1058</v>
      </c>
      <c r="M290">
        <v>10</v>
      </c>
    </row>
    <row r="291" spans="1:13" x14ac:dyDescent="0.3">
      <c r="A291" t="s">
        <v>907</v>
      </c>
      <c r="B291" t="s">
        <v>14</v>
      </c>
      <c r="C291">
        <v>18</v>
      </c>
      <c r="D291" t="s">
        <v>6</v>
      </c>
      <c r="E291" s="32">
        <v>45227</v>
      </c>
      <c r="F291">
        <v>225</v>
      </c>
      <c r="G291">
        <v>2.6</v>
      </c>
      <c r="H291">
        <v>2024</v>
      </c>
      <c r="I291" t="s">
        <v>1064</v>
      </c>
      <c r="J291" t="s">
        <v>1091</v>
      </c>
      <c r="K291">
        <v>3</v>
      </c>
      <c r="L291" t="s">
        <v>1058</v>
      </c>
      <c r="M291">
        <v>10</v>
      </c>
    </row>
    <row r="292" spans="1:13" x14ac:dyDescent="0.3">
      <c r="A292" t="s">
        <v>909</v>
      </c>
      <c r="B292" t="s">
        <v>18</v>
      </c>
      <c r="C292">
        <v>110</v>
      </c>
      <c r="D292" t="s">
        <v>9</v>
      </c>
      <c r="E292" s="32">
        <v>45228</v>
      </c>
      <c r="F292">
        <v>88</v>
      </c>
      <c r="G292">
        <v>3.4</v>
      </c>
      <c r="H292">
        <v>2024</v>
      </c>
      <c r="I292" t="s">
        <v>1065</v>
      </c>
      <c r="J292" t="s">
        <v>1087</v>
      </c>
      <c r="K292">
        <v>3</v>
      </c>
      <c r="L292" t="s">
        <v>1058</v>
      </c>
      <c r="M292">
        <v>10</v>
      </c>
    </row>
    <row r="293" spans="1:13" x14ac:dyDescent="0.3">
      <c r="A293" t="s">
        <v>911</v>
      </c>
      <c r="B293" t="s">
        <v>18</v>
      </c>
      <c r="C293">
        <v>147</v>
      </c>
      <c r="D293" t="s">
        <v>9</v>
      </c>
      <c r="E293" s="32">
        <v>45228</v>
      </c>
      <c r="F293">
        <v>68</v>
      </c>
      <c r="G293">
        <v>2.1</v>
      </c>
      <c r="H293">
        <v>2024</v>
      </c>
      <c r="I293" t="s">
        <v>1065</v>
      </c>
      <c r="J293" t="s">
        <v>1089</v>
      </c>
      <c r="K293">
        <v>2</v>
      </c>
      <c r="L293" t="s">
        <v>1058</v>
      </c>
      <c r="M293">
        <v>10</v>
      </c>
    </row>
    <row r="294" spans="1:13" x14ac:dyDescent="0.3">
      <c r="A294" t="s">
        <v>917</v>
      </c>
      <c r="B294" t="s">
        <v>5</v>
      </c>
      <c r="C294">
        <v>62</v>
      </c>
      <c r="D294" t="s">
        <v>9</v>
      </c>
      <c r="E294" s="32">
        <v>45231</v>
      </c>
      <c r="F294">
        <v>78</v>
      </c>
      <c r="G294">
        <v>3.5</v>
      </c>
      <c r="H294">
        <v>2024</v>
      </c>
      <c r="I294" t="s">
        <v>1068</v>
      </c>
      <c r="J294" t="s">
        <v>1087</v>
      </c>
      <c r="K294">
        <v>4</v>
      </c>
      <c r="L294" t="s">
        <v>1059</v>
      </c>
      <c r="M294">
        <v>11</v>
      </c>
    </row>
    <row r="295" spans="1:13" x14ac:dyDescent="0.3">
      <c r="A295" t="s">
        <v>922</v>
      </c>
      <c r="B295" t="s">
        <v>15</v>
      </c>
      <c r="C295">
        <v>52</v>
      </c>
      <c r="D295" t="s">
        <v>9</v>
      </c>
      <c r="E295" s="32">
        <v>45236</v>
      </c>
      <c r="F295">
        <v>220</v>
      </c>
      <c r="G295">
        <v>5</v>
      </c>
      <c r="H295">
        <v>2024</v>
      </c>
      <c r="I295" t="s">
        <v>1063</v>
      </c>
      <c r="J295" t="s">
        <v>1088</v>
      </c>
      <c r="K295">
        <v>5</v>
      </c>
      <c r="L295" t="s">
        <v>1059</v>
      </c>
      <c r="M295">
        <v>11</v>
      </c>
    </row>
    <row r="296" spans="1:13" x14ac:dyDescent="0.3">
      <c r="A296" t="s">
        <v>925</v>
      </c>
      <c r="B296" t="s">
        <v>19</v>
      </c>
      <c r="C296">
        <v>74</v>
      </c>
      <c r="D296" t="s">
        <v>10</v>
      </c>
      <c r="E296" s="32">
        <v>45238</v>
      </c>
      <c r="F296">
        <v>160</v>
      </c>
      <c r="G296">
        <v>2.7</v>
      </c>
      <c r="H296">
        <v>2024</v>
      </c>
      <c r="I296" t="s">
        <v>1068</v>
      </c>
      <c r="J296" t="s">
        <v>1087</v>
      </c>
      <c r="K296">
        <v>3</v>
      </c>
      <c r="L296" t="s">
        <v>1059</v>
      </c>
      <c r="M296">
        <v>11</v>
      </c>
    </row>
    <row r="297" spans="1:13" x14ac:dyDescent="0.3">
      <c r="A297" t="s">
        <v>926</v>
      </c>
      <c r="B297" t="s">
        <v>19</v>
      </c>
      <c r="C297">
        <v>30</v>
      </c>
      <c r="D297" t="s">
        <v>6</v>
      </c>
      <c r="E297" s="32">
        <v>45238</v>
      </c>
      <c r="F297">
        <v>84</v>
      </c>
      <c r="G297">
        <v>4</v>
      </c>
      <c r="H297">
        <v>2024</v>
      </c>
      <c r="I297" t="s">
        <v>1068</v>
      </c>
      <c r="J297" t="s">
        <v>1091</v>
      </c>
      <c r="K297">
        <v>4</v>
      </c>
      <c r="L297" t="s">
        <v>1059</v>
      </c>
      <c r="M297">
        <v>11</v>
      </c>
    </row>
    <row r="298" spans="1:13" x14ac:dyDescent="0.3">
      <c r="A298" t="s">
        <v>928</v>
      </c>
      <c r="B298" t="s">
        <v>19</v>
      </c>
      <c r="C298">
        <v>151</v>
      </c>
      <c r="D298" t="s">
        <v>11</v>
      </c>
      <c r="E298" s="32">
        <v>45238</v>
      </c>
      <c r="F298">
        <v>84</v>
      </c>
      <c r="G298">
        <v>4.5999999999999996</v>
      </c>
      <c r="H298">
        <v>2024</v>
      </c>
      <c r="I298" t="s">
        <v>1068</v>
      </c>
      <c r="J298" t="s">
        <v>1089</v>
      </c>
      <c r="K298">
        <v>5</v>
      </c>
      <c r="L298" t="s">
        <v>1059</v>
      </c>
      <c r="M298">
        <v>11</v>
      </c>
    </row>
    <row r="299" spans="1:13" x14ac:dyDescent="0.3">
      <c r="A299" t="s">
        <v>932</v>
      </c>
      <c r="B299" t="s">
        <v>18</v>
      </c>
      <c r="C299">
        <v>89</v>
      </c>
      <c r="D299" t="s">
        <v>13</v>
      </c>
      <c r="E299" s="32">
        <v>45240</v>
      </c>
      <c r="F299">
        <v>88</v>
      </c>
      <c r="G299">
        <v>4.9000000000000004</v>
      </c>
      <c r="H299">
        <v>2024</v>
      </c>
      <c r="I299" t="s">
        <v>1062</v>
      </c>
      <c r="J299" t="s">
        <v>1087</v>
      </c>
      <c r="K299">
        <v>5</v>
      </c>
      <c r="L299" t="s">
        <v>1059</v>
      </c>
      <c r="M299">
        <v>11</v>
      </c>
    </row>
    <row r="300" spans="1:13" x14ac:dyDescent="0.3">
      <c r="A300" t="s">
        <v>934</v>
      </c>
      <c r="B300" t="s">
        <v>19</v>
      </c>
      <c r="C300">
        <v>84</v>
      </c>
      <c r="D300" t="s">
        <v>13</v>
      </c>
      <c r="E300" s="32">
        <v>45241</v>
      </c>
      <c r="F300">
        <v>66</v>
      </c>
      <c r="G300">
        <v>4.7</v>
      </c>
      <c r="H300">
        <v>2024</v>
      </c>
      <c r="I300" t="s">
        <v>1064</v>
      </c>
      <c r="J300" t="s">
        <v>1087</v>
      </c>
      <c r="K300">
        <v>5</v>
      </c>
      <c r="L300" t="s">
        <v>1059</v>
      </c>
      <c r="M300">
        <v>11</v>
      </c>
    </row>
    <row r="301" spans="1:13" x14ac:dyDescent="0.3">
      <c r="A301" t="s">
        <v>936</v>
      </c>
      <c r="B301" t="s">
        <v>18</v>
      </c>
      <c r="C301">
        <v>146</v>
      </c>
      <c r="D301" t="s">
        <v>10</v>
      </c>
      <c r="E301" s="32">
        <v>45242</v>
      </c>
      <c r="F301">
        <v>220</v>
      </c>
      <c r="G301">
        <v>4.5</v>
      </c>
      <c r="H301">
        <v>2024</v>
      </c>
      <c r="I301" t="s">
        <v>1065</v>
      </c>
      <c r="J301" t="s">
        <v>1089</v>
      </c>
      <c r="K301">
        <v>5</v>
      </c>
      <c r="L301" t="s">
        <v>1059</v>
      </c>
      <c r="M301">
        <v>11</v>
      </c>
    </row>
    <row r="302" spans="1:13" x14ac:dyDescent="0.3">
      <c r="A302" t="s">
        <v>937</v>
      </c>
      <c r="B302" t="s">
        <v>14</v>
      </c>
      <c r="C302">
        <v>62</v>
      </c>
      <c r="D302" t="s">
        <v>6</v>
      </c>
      <c r="E302" s="32">
        <v>45243</v>
      </c>
      <c r="F302">
        <v>175</v>
      </c>
      <c r="G302">
        <v>4.4000000000000004</v>
      </c>
      <c r="H302">
        <v>2024</v>
      </c>
      <c r="I302" t="s">
        <v>1063</v>
      </c>
      <c r="J302" t="s">
        <v>1087</v>
      </c>
      <c r="K302">
        <v>4</v>
      </c>
      <c r="L302" t="s">
        <v>1059</v>
      </c>
      <c r="M302">
        <v>11</v>
      </c>
    </row>
    <row r="303" spans="1:13" x14ac:dyDescent="0.3">
      <c r="A303" t="s">
        <v>941</v>
      </c>
      <c r="B303" t="s">
        <v>18</v>
      </c>
      <c r="C303">
        <v>149</v>
      </c>
      <c r="D303" t="s">
        <v>9</v>
      </c>
      <c r="E303" s="32">
        <v>45244</v>
      </c>
      <c r="F303">
        <v>44</v>
      </c>
      <c r="G303">
        <v>2.2000000000000002</v>
      </c>
      <c r="H303">
        <v>2024</v>
      </c>
      <c r="I303" t="s">
        <v>1067</v>
      </c>
      <c r="J303" t="s">
        <v>1089</v>
      </c>
      <c r="K303">
        <v>2</v>
      </c>
      <c r="L303" t="s">
        <v>1059</v>
      </c>
      <c r="M303">
        <v>11</v>
      </c>
    </row>
    <row r="304" spans="1:13" x14ac:dyDescent="0.3">
      <c r="A304" t="s">
        <v>943</v>
      </c>
      <c r="B304" t="s">
        <v>14</v>
      </c>
      <c r="C304">
        <v>113</v>
      </c>
      <c r="D304" t="s">
        <v>9</v>
      </c>
      <c r="E304" s="32">
        <v>45245</v>
      </c>
      <c r="F304">
        <v>34</v>
      </c>
      <c r="G304">
        <v>3.9</v>
      </c>
      <c r="H304">
        <v>2024</v>
      </c>
      <c r="I304" t="s">
        <v>1068</v>
      </c>
      <c r="J304" t="s">
        <v>1087</v>
      </c>
      <c r="K304">
        <v>4</v>
      </c>
      <c r="L304" t="s">
        <v>1059</v>
      </c>
      <c r="M304">
        <v>11</v>
      </c>
    </row>
    <row r="305" spans="1:13" x14ac:dyDescent="0.3">
      <c r="A305" t="s">
        <v>948</v>
      </c>
      <c r="B305" t="s">
        <v>15</v>
      </c>
      <c r="C305">
        <v>54</v>
      </c>
      <c r="D305" t="s">
        <v>9</v>
      </c>
      <c r="E305" s="32">
        <v>45247</v>
      </c>
      <c r="F305">
        <v>35</v>
      </c>
      <c r="G305">
        <v>2.8</v>
      </c>
      <c r="H305">
        <v>2024</v>
      </c>
      <c r="I305" t="s">
        <v>1062</v>
      </c>
      <c r="J305" t="s">
        <v>1088</v>
      </c>
      <c r="K305">
        <v>3</v>
      </c>
      <c r="L305" t="s">
        <v>1059</v>
      </c>
      <c r="M305">
        <v>11</v>
      </c>
    </row>
    <row r="306" spans="1:13" x14ac:dyDescent="0.3">
      <c r="A306" t="s">
        <v>950</v>
      </c>
      <c r="B306" t="s">
        <v>18</v>
      </c>
      <c r="C306">
        <v>71</v>
      </c>
      <c r="D306" t="s">
        <v>6</v>
      </c>
      <c r="E306" s="32">
        <v>45247</v>
      </c>
      <c r="F306">
        <v>64</v>
      </c>
      <c r="G306">
        <v>3.9</v>
      </c>
      <c r="H306">
        <v>2024</v>
      </c>
      <c r="I306" t="s">
        <v>1062</v>
      </c>
      <c r="J306" t="s">
        <v>1087</v>
      </c>
      <c r="K306">
        <v>4</v>
      </c>
      <c r="L306" t="s">
        <v>1059</v>
      </c>
      <c r="M306">
        <v>11</v>
      </c>
    </row>
    <row r="307" spans="1:13" x14ac:dyDescent="0.3">
      <c r="A307" t="s">
        <v>959</v>
      </c>
      <c r="B307" t="s">
        <v>15</v>
      </c>
      <c r="C307">
        <v>99</v>
      </c>
      <c r="D307" t="s">
        <v>6</v>
      </c>
      <c r="E307" s="32">
        <v>45253</v>
      </c>
      <c r="F307">
        <v>116</v>
      </c>
      <c r="G307">
        <v>3.9</v>
      </c>
      <c r="H307">
        <v>2024</v>
      </c>
      <c r="I307" t="s">
        <v>1066</v>
      </c>
      <c r="J307" t="s">
        <v>1087</v>
      </c>
      <c r="K307">
        <v>4</v>
      </c>
      <c r="L307" t="s">
        <v>1059</v>
      </c>
      <c r="M307">
        <v>11</v>
      </c>
    </row>
    <row r="308" spans="1:13" x14ac:dyDescent="0.3">
      <c r="A308" t="s">
        <v>962</v>
      </c>
      <c r="B308" t="s">
        <v>15</v>
      </c>
      <c r="C308">
        <v>158</v>
      </c>
      <c r="D308" t="s">
        <v>13</v>
      </c>
      <c r="E308" s="32">
        <v>45254</v>
      </c>
      <c r="F308">
        <v>148</v>
      </c>
      <c r="G308">
        <v>4</v>
      </c>
      <c r="H308">
        <v>2024</v>
      </c>
      <c r="I308" t="s">
        <v>1062</v>
      </c>
      <c r="J308" t="s">
        <v>1089</v>
      </c>
      <c r="K308">
        <v>4</v>
      </c>
      <c r="L308" t="s">
        <v>1059</v>
      </c>
      <c r="M308">
        <v>11</v>
      </c>
    </row>
    <row r="309" spans="1:13" x14ac:dyDescent="0.3">
      <c r="A309" t="s">
        <v>966</v>
      </c>
      <c r="B309" t="s">
        <v>19</v>
      </c>
      <c r="C309">
        <v>96</v>
      </c>
      <c r="D309" t="s">
        <v>11</v>
      </c>
      <c r="E309" s="32">
        <v>45256</v>
      </c>
      <c r="F309">
        <v>136</v>
      </c>
      <c r="G309">
        <v>5</v>
      </c>
      <c r="H309">
        <v>2024</v>
      </c>
      <c r="I309" t="s">
        <v>1065</v>
      </c>
      <c r="J309" t="s">
        <v>1087</v>
      </c>
      <c r="K309">
        <v>5</v>
      </c>
      <c r="L309" t="s">
        <v>1059</v>
      </c>
      <c r="M309">
        <v>11</v>
      </c>
    </row>
    <row r="310" spans="1:13" x14ac:dyDescent="0.3">
      <c r="A310" t="s">
        <v>970</v>
      </c>
      <c r="B310" t="s">
        <v>18</v>
      </c>
      <c r="C310">
        <v>34</v>
      </c>
      <c r="D310" t="s">
        <v>11</v>
      </c>
      <c r="E310" s="32">
        <v>45258</v>
      </c>
      <c r="F310">
        <v>25</v>
      </c>
      <c r="G310">
        <v>4.0999999999999996</v>
      </c>
      <c r="H310">
        <v>2024</v>
      </c>
      <c r="I310" t="s">
        <v>1067</v>
      </c>
      <c r="J310" t="s">
        <v>1088</v>
      </c>
      <c r="K310">
        <v>4</v>
      </c>
      <c r="L310" t="s">
        <v>1059</v>
      </c>
      <c r="M310">
        <v>11</v>
      </c>
    </row>
    <row r="311" spans="1:13" x14ac:dyDescent="0.3">
      <c r="A311" t="s">
        <v>971</v>
      </c>
      <c r="B311" t="s">
        <v>14</v>
      </c>
      <c r="C311">
        <v>2</v>
      </c>
      <c r="D311" t="s">
        <v>6</v>
      </c>
      <c r="E311" s="32">
        <v>45259</v>
      </c>
      <c r="F311">
        <v>62</v>
      </c>
      <c r="G311">
        <v>2.8</v>
      </c>
      <c r="H311">
        <v>2024</v>
      </c>
      <c r="I311" t="s">
        <v>1068</v>
      </c>
      <c r="J311" t="s">
        <v>1090</v>
      </c>
      <c r="K311">
        <v>3</v>
      </c>
      <c r="L311" t="s">
        <v>1059</v>
      </c>
      <c r="M311">
        <v>11</v>
      </c>
    </row>
    <row r="312" spans="1:13" x14ac:dyDescent="0.3">
      <c r="A312" t="s">
        <v>976</v>
      </c>
      <c r="B312" t="s">
        <v>18</v>
      </c>
      <c r="C312">
        <v>97</v>
      </c>
      <c r="D312" t="s">
        <v>10</v>
      </c>
      <c r="E312" s="32">
        <v>45261</v>
      </c>
      <c r="F312">
        <v>114</v>
      </c>
      <c r="G312">
        <v>4.8</v>
      </c>
      <c r="H312">
        <v>2024</v>
      </c>
      <c r="I312" t="s">
        <v>1062</v>
      </c>
      <c r="J312" t="s">
        <v>1087</v>
      </c>
      <c r="K312">
        <v>5</v>
      </c>
      <c r="L312" t="s">
        <v>1060</v>
      </c>
      <c r="M312">
        <v>12</v>
      </c>
    </row>
    <row r="313" spans="1:13" x14ac:dyDescent="0.3">
      <c r="A313" t="s">
        <v>980</v>
      </c>
      <c r="B313" t="s">
        <v>14</v>
      </c>
      <c r="C313">
        <v>133</v>
      </c>
      <c r="D313" t="s">
        <v>10</v>
      </c>
      <c r="E313" s="32">
        <v>45263</v>
      </c>
      <c r="F313">
        <v>96</v>
      </c>
      <c r="G313">
        <v>4.3</v>
      </c>
      <c r="H313">
        <v>2024</v>
      </c>
      <c r="I313" t="s">
        <v>1065</v>
      </c>
      <c r="J313" t="s">
        <v>1089</v>
      </c>
      <c r="K313">
        <v>4</v>
      </c>
      <c r="L313" t="s">
        <v>1060</v>
      </c>
      <c r="M313">
        <v>12</v>
      </c>
    </row>
    <row r="314" spans="1:13" x14ac:dyDescent="0.3">
      <c r="A314" t="s">
        <v>983</v>
      </c>
      <c r="B314" t="s">
        <v>18</v>
      </c>
      <c r="C314">
        <v>38</v>
      </c>
      <c r="D314" t="s">
        <v>13</v>
      </c>
      <c r="E314" s="32">
        <v>45265</v>
      </c>
      <c r="F314">
        <v>27</v>
      </c>
      <c r="G314">
        <v>3.1</v>
      </c>
      <c r="H314">
        <v>2024</v>
      </c>
      <c r="I314" t="s">
        <v>1067</v>
      </c>
      <c r="J314" t="s">
        <v>1088</v>
      </c>
      <c r="K314">
        <v>3</v>
      </c>
      <c r="L314" t="s">
        <v>1060</v>
      </c>
      <c r="M314">
        <v>12</v>
      </c>
    </row>
    <row r="315" spans="1:13" x14ac:dyDescent="0.3">
      <c r="A315" t="s">
        <v>984</v>
      </c>
      <c r="B315" t="s">
        <v>14</v>
      </c>
      <c r="C315">
        <v>78</v>
      </c>
      <c r="D315" t="s">
        <v>13</v>
      </c>
      <c r="E315" s="32">
        <v>45267</v>
      </c>
      <c r="F315">
        <v>200</v>
      </c>
      <c r="G315">
        <v>2.4</v>
      </c>
      <c r="H315">
        <v>2024</v>
      </c>
      <c r="I315" t="s">
        <v>1066</v>
      </c>
      <c r="J315" t="s">
        <v>1087</v>
      </c>
      <c r="K315">
        <v>2</v>
      </c>
      <c r="L315" t="s">
        <v>1060</v>
      </c>
      <c r="M315">
        <v>12</v>
      </c>
    </row>
    <row r="316" spans="1:13" x14ac:dyDescent="0.3">
      <c r="A316" t="s">
        <v>985</v>
      </c>
      <c r="B316" t="s">
        <v>18</v>
      </c>
      <c r="C316">
        <v>25</v>
      </c>
      <c r="D316" t="s">
        <v>9</v>
      </c>
      <c r="E316" s="32">
        <v>45268</v>
      </c>
      <c r="F316">
        <v>93</v>
      </c>
      <c r="G316">
        <v>3.5</v>
      </c>
      <c r="H316">
        <v>2024</v>
      </c>
      <c r="I316" t="s">
        <v>1062</v>
      </c>
      <c r="J316" t="s">
        <v>1091</v>
      </c>
      <c r="K316">
        <v>4</v>
      </c>
      <c r="L316" t="s">
        <v>1060</v>
      </c>
      <c r="M316">
        <v>12</v>
      </c>
    </row>
    <row r="317" spans="1:13" x14ac:dyDescent="0.3">
      <c r="A317" t="s">
        <v>987</v>
      </c>
      <c r="B317" t="s">
        <v>18</v>
      </c>
      <c r="C317">
        <v>103</v>
      </c>
      <c r="D317" t="s">
        <v>9</v>
      </c>
      <c r="E317" s="32">
        <v>45269</v>
      </c>
      <c r="F317">
        <v>72</v>
      </c>
      <c r="G317">
        <v>3.4</v>
      </c>
      <c r="H317">
        <v>2024</v>
      </c>
      <c r="I317" t="s">
        <v>1064</v>
      </c>
      <c r="J317" t="s">
        <v>1087</v>
      </c>
      <c r="K317">
        <v>3</v>
      </c>
      <c r="L317" t="s">
        <v>1060</v>
      </c>
      <c r="M317">
        <v>12</v>
      </c>
    </row>
    <row r="318" spans="1:13" x14ac:dyDescent="0.3">
      <c r="A318" t="s">
        <v>992</v>
      </c>
      <c r="B318" t="s">
        <v>5</v>
      </c>
      <c r="C318">
        <v>127</v>
      </c>
      <c r="D318" t="s">
        <v>6</v>
      </c>
      <c r="E318" s="32">
        <v>45275</v>
      </c>
      <c r="F318">
        <v>145</v>
      </c>
      <c r="G318">
        <v>2.6</v>
      </c>
      <c r="H318">
        <v>2024</v>
      </c>
      <c r="I318" t="s">
        <v>1062</v>
      </c>
      <c r="J318" t="s">
        <v>1089</v>
      </c>
      <c r="K318">
        <v>3</v>
      </c>
      <c r="L318" t="s">
        <v>1060</v>
      </c>
      <c r="M318">
        <v>12</v>
      </c>
    </row>
    <row r="319" spans="1:13" x14ac:dyDescent="0.3">
      <c r="A319" t="s">
        <v>993</v>
      </c>
      <c r="B319" t="s">
        <v>15</v>
      </c>
      <c r="C319">
        <v>96</v>
      </c>
      <c r="D319" t="s">
        <v>13</v>
      </c>
      <c r="E319" s="32">
        <v>45275</v>
      </c>
      <c r="F319">
        <v>115</v>
      </c>
      <c r="G319">
        <v>4.9000000000000004</v>
      </c>
      <c r="H319">
        <v>2024</v>
      </c>
      <c r="I319" t="s">
        <v>1062</v>
      </c>
      <c r="J319" t="s">
        <v>1087</v>
      </c>
      <c r="K319">
        <v>5</v>
      </c>
      <c r="L319" t="s">
        <v>1060</v>
      </c>
      <c r="M319">
        <v>12</v>
      </c>
    </row>
    <row r="320" spans="1:13" x14ac:dyDescent="0.3">
      <c r="A320" t="s">
        <v>1004</v>
      </c>
      <c r="B320" t="s">
        <v>5</v>
      </c>
      <c r="C320">
        <v>158</v>
      </c>
      <c r="D320" t="s">
        <v>10</v>
      </c>
      <c r="E320" s="32">
        <v>45276</v>
      </c>
      <c r="F320">
        <v>36</v>
      </c>
      <c r="G320">
        <v>4.7</v>
      </c>
      <c r="H320">
        <v>2024</v>
      </c>
      <c r="I320" t="s">
        <v>1064</v>
      </c>
      <c r="J320" t="s">
        <v>1089</v>
      </c>
      <c r="K320">
        <v>5</v>
      </c>
      <c r="L320" t="s">
        <v>1060</v>
      </c>
      <c r="M320">
        <v>12</v>
      </c>
    </row>
    <row r="321" spans="1:13" x14ac:dyDescent="0.3">
      <c r="A321" t="s">
        <v>1007</v>
      </c>
      <c r="B321" t="s">
        <v>18</v>
      </c>
      <c r="C321">
        <v>147</v>
      </c>
      <c r="D321" t="s">
        <v>13</v>
      </c>
      <c r="E321" s="32">
        <v>45276</v>
      </c>
      <c r="F321">
        <v>76</v>
      </c>
      <c r="G321">
        <v>4.7</v>
      </c>
      <c r="H321">
        <v>2024</v>
      </c>
      <c r="I321" t="s">
        <v>1064</v>
      </c>
      <c r="J321" t="s">
        <v>1089</v>
      </c>
      <c r="K321">
        <v>5</v>
      </c>
      <c r="L321" t="s">
        <v>1060</v>
      </c>
      <c r="M321">
        <v>12</v>
      </c>
    </row>
    <row r="322" spans="1:13" x14ac:dyDescent="0.3">
      <c r="A322" t="s">
        <v>1008</v>
      </c>
      <c r="B322" t="s">
        <v>19</v>
      </c>
      <c r="C322">
        <v>126</v>
      </c>
      <c r="D322" t="s">
        <v>13</v>
      </c>
      <c r="E322" s="32">
        <v>45276</v>
      </c>
      <c r="F322">
        <v>185</v>
      </c>
      <c r="G322">
        <v>4.8</v>
      </c>
      <c r="H322">
        <v>2024</v>
      </c>
      <c r="I322" t="s">
        <v>1064</v>
      </c>
      <c r="J322" t="s">
        <v>1089</v>
      </c>
      <c r="K322">
        <v>5</v>
      </c>
      <c r="L322" t="s">
        <v>1060</v>
      </c>
      <c r="M322">
        <v>12</v>
      </c>
    </row>
    <row r="323" spans="1:13" x14ac:dyDescent="0.3">
      <c r="A323" t="s">
        <v>1010</v>
      </c>
      <c r="B323" t="s">
        <v>14</v>
      </c>
      <c r="C323">
        <v>32</v>
      </c>
      <c r="D323" t="s">
        <v>13</v>
      </c>
      <c r="E323" s="32">
        <v>45277</v>
      </c>
      <c r="F323">
        <v>148</v>
      </c>
      <c r="G323">
        <v>4</v>
      </c>
      <c r="H323">
        <v>2024</v>
      </c>
      <c r="I323" t="s">
        <v>1065</v>
      </c>
      <c r="J323" t="s">
        <v>1088</v>
      </c>
      <c r="K323">
        <v>4</v>
      </c>
      <c r="L323" t="s">
        <v>1060</v>
      </c>
      <c r="M323">
        <v>12</v>
      </c>
    </row>
    <row r="324" spans="1:13" x14ac:dyDescent="0.3">
      <c r="A324" t="s">
        <v>1014</v>
      </c>
      <c r="B324" t="s">
        <v>15</v>
      </c>
      <c r="C324">
        <v>76</v>
      </c>
      <c r="D324" t="s">
        <v>9</v>
      </c>
      <c r="E324" s="32">
        <v>45281</v>
      </c>
      <c r="F324">
        <v>82</v>
      </c>
      <c r="G324">
        <v>2.1</v>
      </c>
      <c r="H324">
        <v>2024</v>
      </c>
      <c r="I324" t="s">
        <v>1066</v>
      </c>
      <c r="J324" t="s">
        <v>1087</v>
      </c>
      <c r="K324">
        <v>2</v>
      </c>
      <c r="L324" t="s">
        <v>1060</v>
      </c>
      <c r="M324">
        <v>12</v>
      </c>
    </row>
    <row r="325" spans="1:13" x14ac:dyDescent="0.3">
      <c r="A325" t="s">
        <v>1015</v>
      </c>
      <c r="B325" t="s">
        <v>5</v>
      </c>
      <c r="C325">
        <v>89</v>
      </c>
      <c r="D325" t="s">
        <v>13</v>
      </c>
      <c r="E325" s="32">
        <v>45284</v>
      </c>
      <c r="F325">
        <v>88</v>
      </c>
      <c r="G325">
        <v>2.8</v>
      </c>
      <c r="H325">
        <v>2024</v>
      </c>
      <c r="I325" t="s">
        <v>1065</v>
      </c>
      <c r="J325" t="s">
        <v>1087</v>
      </c>
      <c r="K325">
        <v>3</v>
      </c>
      <c r="L325" t="s">
        <v>1060</v>
      </c>
      <c r="M325">
        <v>12</v>
      </c>
    </row>
    <row r="326" spans="1:13" x14ac:dyDescent="0.3">
      <c r="A326" t="s">
        <v>1018</v>
      </c>
      <c r="B326" t="s">
        <v>14</v>
      </c>
      <c r="C326">
        <v>140</v>
      </c>
      <c r="D326" t="s">
        <v>10</v>
      </c>
      <c r="E326" s="32">
        <v>45285</v>
      </c>
      <c r="F326">
        <v>105</v>
      </c>
      <c r="G326">
        <v>1.7</v>
      </c>
      <c r="H326">
        <v>2024</v>
      </c>
      <c r="I326" t="s">
        <v>1063</v>
      </c>
      <c r="J326" t="s">
        <v>1089</v>
      </c>
      <c r="K326">
        <v>2</v>
      </c>
      <c r="L326" t="s">
        <v>1060</v>
      </c>
      <c r="M326">
        <v>12</v>
      </c>
    </row>
    <row r="327" spans="1:13" x14ac:dyDescent="0.3">
      <c r="A327" t="s">
        <v>1031</v>
      </c>
      <c r="B327" t="s">
        <v>15</v>
      </c>
      <c r="C327">
        <v>127</v>
      </c>
      <c r="D327" t="s">
        <v>13</v>
      </c>
      <c r="E327" s="32">
        <v>45290</v>
      </c>
      <c r="F327">
        <v>215</v>
      </c>
      <c r="G327">
        <v>3.8</v>
      </c>
      <c r="H327">
        <v>2024</v>
      </c>
      <c r="I327" t="s">
        <v>1064</v>
      </c>
      <c r="J327" t="s">
        <v>1089</v>
      </c>
      <c r="K327">
        <v>4</v>
      </c>
      <c r="L327" t="s">
        <v>1060</v>
      </c>
      <c r="M327">
        <v>12</v>
      </c>
    </row>
    <row r="328" spans="1:13" x14ac:dyDescent="0.3">
      <c r="A328" t="s">
        <v>1032</v>
      </c>
      <c r="B328" t="s">
        <v>14</v>
      </c>
      <c r="C328">
        <v>146</v>
      </c>
      <c r="D328" t="s">
        <v>10</v>
      </c>
      <c r="E328" s="32">
        <v>45291</v>
      </c>
      <c r="F328">
        <v>115</v>
      </c>
      <c r="G328">
        <v>2.2999999999999998</v>
      </c>
      <c r="H328">
        <v>2024</v>
      </c>
      <c r="I328" t="s">
        <v>1065</v>
      </c>
      <c r="J328" t="s">
        <v>1089</v>
      </c>
      <c r="K328">
        <v>2</v>
      </c>
      <c r="L328" t="s">
        <v>1060</v>
      </c>
      <c r="M328">
        <v>12</v>
      </c>
    </row>
    <row r="329" spans="1:13" x14ac:dyDescent="0.3">
      <c r="A329" t="s">
        <v>1033</v>
      </c>
      <c r="B329" t="s">
        <v>18</v>
      </c>
      <c r="C329">
        <v>123</v>
      </c>
      <c r="D329" t="s">
        <v>10</v>
      </c>
      <c r="E329" s="32">
        <v>45291</v>
      </c>
      <c r="F329">
        <v>64</v>
      </c>
      <c r="G329">
        <v>3.7</v>
      </c>
      <c r="H329">
        <v>2024</v>
      </c>
      <c r="I329" t="s">
        <v>1065</v>
      </c>
      <c r="J329" t="s">
        <v>1089</v>
      </c>
      <c r="K329">
        <v>4</v>
      </c>
      <c r="L329" t="s">
        <v>1060</v>
      </c>
      <c r="M329">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59B-2EA6-445A-BBF6-C6CDC291E376}">
  <dimension ref="A1:M602"/>
  <sheetViews>
    <sheetView workbookViewId="0">
      <selection activeCell="F11" sqref="F11"/>
    </sheetView>
  </sheetViews>
  <sheetFormatPr defaultRowHeight="14.4" x14ac:dyDescent="0.3"/>
  <cols>
    <col min="1" max="1" width="18.19921875" bestFit="1" customWidth="1"/>
    <col min="2" max="2" width="18.3984375" bestFit="1" customWidth="1"/>
    <col min="3" max="3" width="15.19921875" bestFit="1" customWidth="1"/>
    <col min="4" max="4" width="20.59765625" bestFit="1" customWidth="1"/>
    <col min="5" max="5" width="17.69921875" bestFit="1" customWidth="1"/>
    <col min="6" max="6" width="22.59765625" bestFit="1" customWidth="1"/>
    <col min="7" max="7" width="23.59765625" bestFit="1" customWidth="1"/>
    <col min="8" max="8" width="10.09765625" bestFit="1" customWidth="1"/>
    <col min="9" max="9" width="18.09765625" bestFit="1" customWidth="1"/>
    <col min="10" max="10" width="21.3984375" bestFit="1" customWidth="1"/>
    <col min="11" max="11" width="20.59765625" bestFit="1" customWidth="1"/>
    <col min="12" max="12" width="24.3984375" bestFit="1" customWidth="1"/>
    <col min="13" max="13" width="29.3984375" bestFit="1" customWidth="1"/>
  </cols>
  <sheetData>
    <row r="1" spans="1:13" x14ac:dyDescent="0.3">
      <c r="A1" s="14" t="s">
        <v>1093</v>
      </c>
    </row>
    <row r="3" spans="1:13" x14ac:dyDescent="0.3">
      <c r="A3" t="s">
        <v>1074</v>
      </c>
      <c r="B3" t="s">
        <v>1075</v>
      </c>
      <c r="C3" t="s">
        <v>1076</v>
      </c>
      <c r="D3" t="s">
        <v>1077</v>
      </c>
      <c r="E3" t="s">
        <v>1078</v>
      </c>
      <c r="F3" t="s">
        <v>1079</v>
      </c>
      <c r="G3" t="s">
        <v>1080</v>
      </c>
      <c r="H3" t="s">
        <v>1081</v>
      </c>
      <c r="I3" t="s">
        <v>1082</v>
      </c>
      <c r="J3" t="s">
        <v>1083</v>
      </c>
      <c r="K3" t="s">
        <v>1084</v>
      </c>
      <c r="L3" t="s">
        <v>1085</v>
      </c>
      <c r="M3" t="s">
        <v>1086</v>
      </c>
    </row>
    <row r="4" spans="1:13" x14ac:dyDescent="0.3">
      <c r="A4" t="s">
        <v>29</v>
      </c>
      <c r="B4" t="s">
        <v>21</v>
      </c>
      <c r="C4">
        <v>119</v>
      </c>
      <c r="D4" t="s">
        <v>9</v>
      </c>
      <c r="E4" s="32">
        <v>44927</v>
      </c>
      <c r="F4">
        <v>22</v>
      </c>
      <c r="G4">
        <v>2.9</v>
      </c>
      <c r="H4">
        <v>2023</v>
      </c>
      <c r="I4" t="s">
        <v>1065</v>
      </c>
      <c r="J4" t="s">
        <v>1087</v>
      </c>
      <c r="K4">
        <v>3</v>
      </c>
      <c r="L4" t="s">
        <v>1049</v>
      </c>
      <c r="M4">
        <v>1</v>
      </c>
    </row>
    <row r="5" spans="1:13" x14ac:dyDescent="0.3">
      <c r="A5" t="s">
        <v>30</v>
      </c>
      <c r="B5" t="s">
        <v>8</v>
      </c>
      <c r="C5">
        <v>128</v>
      </c>
      <c r="D5" t="s">
        <v>11</v>
      </c>
      <c r="E5" s="32">
        <v>44928</v>
      </c>
      <c r="F5">
        <v>31</v>
      </c>
      <c r="G5">
        <v>2.8</v>
      </c>
      <c r="H5">
        <v>2023</v>
      </c>
      <c r="I5" t="s">
        <v>1063</v>
      </c>
      <c r="J5" t="s">
        <v>1089</v>
      </c>
      <c r="K5">
        <v>3</v>
      </c>
      <c r="L5" t="s">
        <v>1049</v>
      </c>
      <c r="M5">
        <v>1</v>
      </c>
    </row>
    <row r="6" spans="1:13" x14ac:dyDescent="0.3">
      <c r="A6" t="s">
        <v>31</v>
      </c>
      <c r="B6" t="s">
        <v>8</v>
      </c>
      <c r="C6">
        <v>49</v>
      </c>
      <c r="D6" t="s">
        <v>9</v>
      </c>
      <c r="E6" s="32">
        <v>44929</v>
      </c>
      <c r="F6">
        <v>135</v>
      </c>
      <c r="G6">
        <v>4.8</v>
      </c>
      <c r="H6">
        <v>2023</v>
      </c>
      <c r="I6" t="s">
        <v>1067</v>
      </c>
      <c r="J6" t="s">
        <v>1088</v>
      </c>
      <c r="K6">
        <v>5</v>
      </c>
      <c r="L6" t="s">
        <v>1049</v>
      </c>
      <c r="M6">
        <v>1</v>
      </c>
    </row>
    <row r="7" spans="1:13" x14ac:dyDescent="0.3">
      <c r="A7" t="s">
        <v>32</v>
      </c>
      <c r="B7" t="s">
        <v>15</v>
      </c>
      <c r="C7">
        <v>84</v>
      </c>
      <c r="D7" t="s">
        <v>10</v>
      </c>
      <c r="E7" s="32">
        <v>44929</v>
      </c>
      <c r="F7">
        <v>60</v>
      </c>
      <c r="G7">
        <v>4.7</v>
      </c>
      <c r="H7">
        <v>2023</v>
      </c>
      <c r="I7" t="s">
        <v>1067</v>
      </c>
      <c r="J7" t="s">
        <v>1087</v>
      </c>
      <c r="K7">
        <v>5</v>
      </c>
      <c r="L7" t="s">
        <v>1049</v>
      </c>
      <c r="M7">
        <v>1</v>
      </c>
    </row>
    <row r="8" spans="1:13" x14ac:dyDescent="0.3">
      <c r="A8" t="s">
        <v>35</v>
      </c>
      <c r="B8" t="s">
        <v>18</v>
      </c>
      <c r="C8">
        <v>44</v>
      </c>
      <c r="D8" t="s">
        <v>6</v>
      </c>
      <c r="E8" s="32">
        <v>44929</v>
      </c>
      <c r="F8">
        <v>105</v>
      </c>
      <c r="G8">
        <v>2.9</v>
      </c>
      <c r="H8">
        <v>2023</v>
      </c>
      <c r="I8" t="s">
        <v>1067</v>
      </c>
      <c r="J8" t="s">
        <v>1088</v>
      </c>
      <c r="K8">
        <v>3</v>
      </c>
      <c r="L8" t="s">
        <v>1049</v>
      </c>
      <c r="M8">
        <v>1</v>
      </c>
    </row>
    <row r="9" spans="1:13" x14ac:dyDescent="0.3">
      <c r="A9" t="s">
        <v>36</v>
      </c>
      <c r="B9" t="s">
        <v>8</v>
      </c>
      <c r="C9">
        <v>102</v>
      </c>
      <c r="D9" t="s">
        <v>9</v>
      </c>
      <c r="E9" s="32">
        <v>44929</v>
      </c>
      <c r="F9">
        <v>69</v>
      </c>
      <c r="G9">
        <v>4.9000000000000004</v>
      </c>
      <c r="H9">
        <v>2023</v>
      </c>
      <c r="I9" t="s">
        <v>1067</v>
      </c>
      <c r="J9" t="s">
        <v>1087</v>
      </c>
      <c r="K9">
        <v>5</v>
      </c>
      <c r="L9" t="s">
        <v>1049</v>
      </c>
      <c r="M9">
        <v>1</v>
      </c>
    </row>
    <row r="10" spans="1:13" x14ac:dyDescent="0.3">
      <c r="A10" t="s">
        <v>37</v>
      </c>
      <c r="B10" t="s">
        <v>14</v>
      </c>
      <c r="C10">
        <v>135</v>
      </c>
      <c r="D10" t="s">
        <v>10</v>
      </c>
      <c r="E10" s="32">
        <v>44929</v>
      </c>
      <c r="F10">
        <v>46</v>
      </c>
      <c r="G10">
        <v>3.4</v>
      </c>
      <c r="H10">
        <v>2023</v>
      </c>
      <c r="I10" t="s">
        <v>1067</v>
      </c>
      <c r="J10" t="s">
        <v>1089</v>
      </c>
      <c r="K10">
        <v>3</v>
      </c>
      <c r="L10" t="s">
        <v>1049</v>
      </c>
      <c r="M10">
        <v>1</v>
      </c>
    </row>
    <row r="11" spans="1:13" x14ac:dyDescent="0.3">
      <c r="A11" t="s">
        <v>39</v>
      </c>
      <c r="B11" t="s">
        <v>18</v>
      </c>
      <c r="C11">
        <v>139</v>
      </c>
      <c r="D11" t="s">
        <v>9</v>
      </c>
      <c r="E11" s="32">
        <v>44930</v>
      </c>
      <c r="F11">
        <v>96</v>
      </c>
      <c r="G11">
        <v>4</v>
      </c>
      <c r="H11">
        <v>2023</v>
      </c>
      <c r="I11" t="s">
        <v>1068</v>
      </c>
      <c r="J11" t="s">
        <v>1089</v>
      </c>
      <c r="K11">
        <v>4</v>
      </c>
      <c r="L11" t="s">
        <v>1049</v>
      </c>
      <c r="M11">
        <v>1</v>
      </c>
    </row>
    <row r="12" spans="1:13" x14ac:dyDescent="0.3">
      <c r="A12" t="s">
        <v>40</v>
      </c>
      <c r="B12" t="s">
        <v>14</v>
      </c>
      <c r="C12">
        <v>48</v>
      </c>
      <c r="D12" t="s">
        <v>11</v>
      </c>
      <c r="E12" s="32">
        <v>44930</v>
      </c>
      <c r="F12">
        <v>68</v>
      </c>
      <c r="G12">
        <v>4.9000000000000004</v>
      </c>
      <c r="H12">
        <v>2023</v>
      </c>
      <c r="I12" t="s">
        <v>1068</v>
      </c>
      <c r="J12" t="s">
        <v>1088</v>
      </c>
      <c r="K12">
        <v>5</v>
      </c>
      <c r="L12" t="s">
        <v>1049</v>
      </c>
      <c r="M12">
        <v>1</v>
      </c>
    </row>
    <row r="13" spans="1:13" x14ac:dyDescent="0.3">
      <c r="A13" t="s">
        <v>41</v>
      </c>
      <c r="B13" t="s">
        <v>18</v>
      </c>
      <c r="C13">
        <v>176</v>
      </c>
      <c r="D13" t="s">
        <v>10</v>
      </c>
      <c r="E13" s="32">
        <v>44931</v>
      </c>
      <c r="F13">
        <v>24</v>
      </c>
      <c r="G13">
        <v>4.8</v>
      </c>
      <c r="H13">
        <v>2023</v>
      </c>
      <c r="I13" t="s">
        <v>1066</v>
      </c>
      <c r="J13" t="s">
        <v>1089</v>
      </c>
      <c r="K13">
        <v>5</v>
      </c>
      <c r="L13" t="s">
        <v>1049</v>
      </c>
      <c r="M13">
        <v>1</v>
      </c>
    </row>
    <row r="14" spans="1:13" x14ac:dyDescent="0.3">
      <c r="A14" t="s">
        <v>42</v>
      </c>
      <c r="B14" t="s">
        <v>18</v>
      </c>
      <c r="C14">
        <v>99</v>
      </c>
      <c r="D14" t="s">
        <v>11</v>
      </c>
      <c r="E14" s="32">
        <v>44931</v>
      </c>
      <c r="F14">
        <v>195</v>
      </c>
      <c r="G14">
        <v>3.9</v>
      </c>
      <c r="H14">
        <v>2023</v>
      </c>
      <c r="I14" t="s">
        <v>1066</v>
      </c>
      <c r="J14" t="s">
        <v>1087</v>
      </c>
      <c r="K14">
        <v>4</v>
      </c>
      <c r="L14" t="s">
        <v>1049</v>
      </c>
      <c r="M14">
        <v>1</v>
      </c>
    </row>
    <row r="15" spans="1:13" x14ac:dyDescent="0.3">
      <c r="A15" t="s">
        <v>43</v>
      </c>
      <c r="B15" t="s">
        <v>22</v>
      </c>
      <c r="C15">
        <v>28</v>
      </c>
      <c r="D15" t="s">
        <v>6</v>
      </c>
      <c r="E15" s="32">
        <v>44931</v>
      </c>
      <c r="F15">
        <v>28</v>
      </c>
      <c r="G15">
        <v>3.8</v>
      </c>
      <c r="H15">
        <v>2023</v>
      </c>
      <c r="I15" t="s">
        <v>1066</v>
      </c>
      <c r="J15" t="s">
        <v>1091</v>
      </c>
      <c r="K15">
        <v>4</v>
      </c>
      <c r="L15" t="s">
        <v>1049</v>
      </c>
      <c r="M15">
        <v>1</v>
      </c>
    </row>
    <row r="16" spans="1:13" x14ac:dyDescent="0.3">
      <c r="A16" t="s">
        <v>44</v>
      </c>
      <c r="B16" t="s">
        <v>15</v>
      </c>
      <c r="C16">
        <v>54</v>
      </c>
      <c r="D16" t="s">
        <v>9</v>
      </c>
      <c r="E16" s="32">
        <v>44931</v>
      </c>
      <c r="F16">
        <v>170</v>
      </c>
      <c r="G16">
        <v>4.3</v>
      </c>
      <c r="H16">
        <v>2023</v>
      </c>
      <c r="I16" t="s">
        <v>1066</v>
      </c>
      <c r="J16" t="s">
        <v>1088</v>
      </c>
      <c r="K16">
        <v>4</v>
      </c>
      <c r="L16" t="s">
        <v>1049</v>
      </c>
      <c r="M16">
        <v>1</v>
      </c>
    </row>
    <row r="17" spans="1:13" x14ac:dyDescent="0.3">
      <c r="A17" t="s">
        <v>49</v>
      </c>
      <c r="B17" t="s">
        <v>19</v>
      </c>
      <c r="C17">
        <v>58</v>
      </c>
      <c r="D17" t="s">
        <v>9</v>
      </c>
      <c r="E17" s="32">
        <v>44934</v>
      </c>
      <c r="F17">
        <v>140</v>
      </c>
      <c r="G17">
        <v>2.1</v>
      </c>
      <c r="H17">
        <v>2023</v>
      </c>
      <c r="I17" t="s">
        <v>1065</v>
      </c>
      <c r="J17" t="s">
        <v>1088</v>
      </c>
      <c r="K17">
        <v>2</v>
      </c>
      <c r="L17" t="s">
        <v>1049</v>
      </c>
      <c r="M17">
        <v>1</v>
      </c>
    </row>
    <row r="18" spans="1:13" x14ac:dyDescent="0.3">
      <c r="A18" t="s">
        <v>50</v>
      </c>
      <c r="B18" t="s">
        <v>18</v>
      </c>
      <c r="C18">
        <v>54</v>
      </c>
      <c r="D18" t="s">
        <v>11</v>
      </c>
      <c r="E18" s="32">
        <v>44934</v>
      </c>
      <c r="F18">
        <v>111</v>
      </c>
      <c r="G18">
        <v>3.3</v>
      </c>
      <c r="H18">
        <v>2023</v>
      </c>
      <c r="I18" t="s">
        <v>1065</v>
      </c>
      <c r="J18" t="s">
        <v>1088</v>
      </c>
      <c r="K18">
        <v>3</v>
      </c>
      <c r="L18" t="s">
        <v>1049</v>
      </c>
      <c r="M18">
        <v>1</v>
      </c>
    </row>
    <row r="19" spans="1:13" x14ac:dyDescent="0.3">
      <c r="A19" t="s">
        <v>51</v>
      </c>
      <c r="B19" t="s">
        <v>16</v>
      </c>
      <c r="C19">
        <v>28</v>
      </c>
      <c r="D19" t="s">
        <v>10</v>
      </c>
      <c r="E19" s="32">
        <v>44935</v>
      </c>
      <c r="F19">
        <v>63</v>
      </c>
      <c r="G19">
        <v>4.0999999999999996</v>
      </c>
      <c r="H19">
        <v>2023</v>
      </c>
      <c r="I19" t="s">
        <v>1063</v>
      </c>
      <c r="J19" t="s">
        <v>1091</v>
      </c>
      <c r="K19">
        <v>4</v>
      </c>
      <c r="L19" t="s">
        <v>1049</v>
      </c>
      <c r="M19">
        <v>1</v>
      </c>
    </row>
    <row r="20" spans="1:13" x14ac:dyDescent="0.3">
      <c r="A20" t="s">
        <v>53</v>
      </c>
      <c r="B20" t="s">
        <v>8</v>
      </c>
      <c r="C20">
        <v>81</v>
      </c>
      <c r="D20" t="s">
        <v>10</v>
      </c>
      <c r="E20" s="32">
        <v>44936</v>
      </c>
      <c r="F20">
        <v>50</v>
      </c>
      <c r="G20">
        <v>4.5999999999999996</v>
      </c>
      <c r="H20">
        <v>2023</v>
      </c>
      <c r="I20" t="s">
        <v>1067</v>
      </c>
      <c r="J20" t="s">
        <v>1087</v>
      </c>
      <c r="K20">
        <v>5</v>
      </c>
      <c r="L20" t="s">
        <v>1049</v>
      </c>
      <c r="M20">
        <v>1</v>
      </c>
    </row>
    <row r="21" spans="1:13" x14ac:dyDescent="0.3">
      <c r="A21" t="s">
        <v>54</v>
      </c>
      <c r="B21" t="s">
        <v>22</v>
      </c>
      <c r="C21">
        <v>31</v>
      </c>
      <c r="D21" t="s">
        <v>13</v>
      </c>
      <c r="E21" s="32">
        <v>44936</v>
      </c>
      <c r="F21">
        <v>123</v>
      </c>
      <c r="G21">
        <v>2.9</v>
      </c>
      <c r="H21">
        <v>2023</v>
      </c>
      <c r="I21" t="s">
        <v>1067</v>
      </c>
      <c r="J21" t="s">
        <v>1088</v>
      </c>
      <c r="K21">
        <v>3</v>
      </c>
      <c r="L21" t="s">
        <v>1049</v>
      </c>
      <c r="M21">
        <v>1</v>
      </c>
    </row>
    <row r="22" spans="1:13" x14ac:dyDescent="0.3">
      <c r="A22" t="s">
        <v>55</v>
      </c>
      <c r="B22" t="s">
        <v>19</v>
      </c>
      <c r="C22">
        <v>155</v>
      </c>
      <c r="D22" t="s">
        <v>11</v>
      </c>
      <c r="E22" s="32">
        <v>44936</v>
      </c>
      <c r="F22">
        <v>110</v>
      </c>
      <c r="G22">
        <v>4.8</v>
      </c>
      <c r="H22">
        <v>2023</v>
      </c>
      <c r="I22" t="s">
        <v>1067</v>
      </c>
      <c r="J22" t="s">
        <v>1089</v>
      </c>
      <c r="K22">
        <v>5</v>
      </c>
      <c r="L22" t="s">
        <v>1049</v>
      </c>
      <c r="M22">
        <v>1</v>
      </c>
    </row>
    <row r="23" spans="1:13" x14ac:dyDescent="0.3">
      <c r="A23" t="s">
        <v>56</v>
      </c>
      <c r="B23" t="s">
        <v>22</v>
      </c>
      <c r="C23">
        <v>80</v>
      </c>
      <c r="D23" t="s">
        <v>10</v>
      </c>
      <c r="E23" s="32">
        <v>44936</v>
      </c>
      <c r="F23">
        <v>140</v>
      </c>
      <c r="G23">
        <v>4.2</v>
      </c>
      <c r="H23">
        <v>2023</v>
      </c>
      <c r="I23" t="s">
        <v>1067</v>
      </c>
      <c r="J23" t="s">
        <v>1087</v>
      </c>
      <c r="K23">
        <v>4</v>
      </c>
      <c r="L23" t="s">
        <v>1049</v>
      </c>
      <c r="M23">
        <v>1</v>
      </c>
    </row>
    <row r="24" spans="1:13" x14ac:dyDescent="0.3">
      <c r="A24" t="s">
        <v>57</v>
      </c>
      <c r="B24" t="s">
        <v>8</v>
      </c>
      <c r="C24">
        <v>82</v>
      </c>
      <c r="D24" t="s">
        <v>10</v>
      </c>
      <c r="E24" s="32">
        <v>44938</v>
      </c>
      <c r="F24">
        <v>42</v>
      </c>
      <c r="G24">
        <v>3.7</v>
      </c>
      <c r="H24">
        <v>2023</v>
      </c>
      <c r="I24" t="s">
        <v>1066</v>
      </c>
      <c r="J24" t="s">
        <v>1087</v>
      </c>
      <c r="K24">
        <v>4</v>
      </c>
      <c r="L24" t="s">
        <v>1049</v>
      </c>
      <c r="M24">
        <v>1</v>
      </c>
    </row>
    <row r="25" spans="1:13" x14ac:dyDescent="0.3">
      <c r="A25" t="s">
        <v>58</v>
      </c>
      <c r="B25" t="s">
        <v>8</v>
      </c>
      <c r="C25">
        <v>29</v>
      </c>
      <c r="D25" t="s">
        <v>11</v>
      </c>
      <c r="E25" s="32">
        <v>44938</v>
      </c>
      <c r="F25">
        <v>170</v>
      </c>
      <c r="G25">
        <v>5</v>
      </c>
      <c r="H25">
        <v>2023</v>
      </c>
      <c r="I25" t="s">
        <v>1066</v>
      </c>
      <c r="J25" t="s">
        <v>1091</v>
      </c>
      <c r="K25">
        <v>5</v>
      </c>
      <c r="L25" t="s">
        <v>1049</v>
      </c>
      <c r="M25">
        <v>1</v>
      </c>
    </row>
    <row r="26" spans="1:13" x14ac:dyDescent="0.3">
      <c r="A26" t="s">
        <v>61</v>
      </c>
      <c r="B26" t="s">
        <v>22</v>
      </c>
      <c r="C26">
        <v>75</v>
      </c>
      <c r="D26" t="s">
        <v>6</v>
      </c>
      <c r="E26" s="32">
        <v>44941</v>
      </c>
      <c r="F26">
        <v>26</v>
      </c>
      <c r="G26">
        <v>2.4</v>
      </c>
      <c r="H26">
        <v>2023</v>
      </c>
      <c r="I26" t="s">
        <v>1065</v>
      </c>
      <c r="J26" t="s">
        <v>1087</v>
      </c>
      <c r="K26">
        <v>2</v>
      </c>
      <c r="L26" t="s">
        <v>1049</v>
      </c>
      <c r="M26">
        <v>1</v>
      </c>
    </row>
    <row r="27" spans="1:13" x14ac:dyDescent="0.3">
      <c r="A27" t="s">
        <v>62</v>
      </c>
      <c r="B27" t="s">
        <v>19</v>
      </c>
      <c r="C27">
        <v>94</v>
      </c>
      <c r="D27" t="s">
        <v>6</v>
      </c>
      <c r="E27" s="32">
        <v>44942</v>
      </c>
      <c r="F27">
        <v>120</v>
      </c>
      <c r="G27">
        <v>3.1</v>
      </c>
      <c r="H27">
        <v>2023</v>
      </c>
      <c r="I27" t="s">
        <v>1063</v>
      </c>
      <c r="J27" t="s">
        <v>1087</v>
      </c>
      <c r="K27">
        <v>3</v>
      </c>
      <c r="L27" t="s">
        <v>1049</v>
      </c>
      <c r="M27">
        <v>1</v>
      </c>
    </row>
    <row r="28" spans="1:13" x14ac:dyDescent="0.3">
      <c r="A28" t="s">
        <v>64</v>
      </c>
      <c r="B28" t="s">
        <v>19</v>
      </c>
      <c r="C28">
        <v>81</v>
      </c>
      <c r="D28" t="s">
        <v>13</v>
      </c>
      <c r="E28" s="32">
        <v>44943</v>
      </c>
      <c r="F28">
        <v>86</v>
      </c>
      <c r="G28">
        <v>2.4</v>
      </c>
      <c r="H28">
        <v>2023</v>
      </c>
      <c r="I28" t="s">
        <v>1067</v>
      </c>
      <c r="J28" t="s">
        <v>1087</v>
      </c>
      <c r="K28">
        <v>2</v>
      </c>
      <c r="L28" t="s">
        <v>1049</v>
      </c>
      <c r="M28">
        <v>1</v>
      </c>
    </row>
    <row r="29" spans="1:13" x14ac:dyDescent="0.3">
      <c r="A29" t="s">
        <v>65</v>
      </c>
      <c r="B29" t="s">
        <v>22</v>
      </c>
      <c r="C29">
        <v>106</v>
      </c>
      <c r="D29" t="s">
        <v>10</v>
      </c>
      <c r="E29" s="32">
        <v>44943</v>
      </c>
      <c r="F29">
        <v>108</v>
      </c>
      <c r="G29">
        <v>5</v>
      </c>
      <c r="H29">
        <v>2023</v>
      </c>
      <c r="I29" t="s">
        <v>1067</v>
      </c>
      <c r="J29" t="s">
        <v>1087</v>
      </c>
      <c r="K29">
        <v>5</v>
      </c>
      <c r="L29" t="s">
        <v>1049</v>
      </c>
      <c r="M29">
        <v>1</v>
      </c>
    </row>
    <row r="30" spans="1:13" x14ac:dyDescent="0.3">
      <c r="A30" t="s">
        <v>67</v>
      </c>
      <c r="B30" t="s">
        <v>18</v>
      </c>
      <c r="C30">
        <v>105</v>
      </c>
      <c r="D30" t="s">
        <v>9</v>
      </c>
      <c r="E30" s="32">
        <v>44944</v>
      </c>
      <c r="F30">
        <v>80</v>
      </c>
      <c r="G30">
        <v>4.7</v>
      </c>
      <c r="H30">
        <v>2023</v>
      </c>
      <c r="I30" t="s">
        <v>1068</v>
      </c>
      <c r="J30" t="s">
        <v>1087</v>
      </c>
      <c r="K30">
        <v>5</v>
      </c>
      <c r="L30" t="s">
        <v>1049</v>
      </c>
      <c r="M30">
        <v>1</v>
      </c>
    </row>
    <row r="31" spans="1:13" x14ac:dyDescent="0.3">
      <c r="A31" t="s">
        <v>68</v>
      </c>
      <c r="B31" t="s">
        <v>22</v>
      </c>
      <c r="C31">
        <v>89</v>
      </c>
      <c r="D31" t="s">
        <v>10</v>
      </c>
      <c r="E31" s="32">
        <v>44944</v>
      </c>
      <c r="F31">
        <v>155</v>
      </c>
      <c r="G31">
        <v>4.0999999999999996</v>
      </c>
      <c r="H31">
        <v>2023</v>
      </c>
      <c r="I31" t="s">
        <v>1068</v>
      </c>
      <c r="J31" t="s">
        <v>1087</v>
      </c>
      <c r="K31">
        <v>4</v>
      </c>
      <c r="L31" t="s">
        <v>1049</v>
      </c>
      <c r="M31">
        <v>1</v>
      </c>
    </row>
    <row r="32" spans="1:13" x14ac:dyDescent="0.3">
      <c r="A32" t="s">
        <v>69</v>
      </c>
      <c r="B32" t="s">
        <v>14</v>
      </c>
      <c r="C32">
        <v>132</v>
      </c>
      <c r="D32" t="s">
        <v>6</v>
      </c>
      <c r="E32" s="32">
        <v>44944</v>
      </c>
      <c r="F32">
        <v>168</v>
      </c>
      <c r="G32">
        <v>4.0999999999999996</v>
      </c>
      <c r="H32">
        <v>2023</v>
      </c>
      <c r="I32" t="s">
        <v>1068</v>
      </c>
      <c r="J32" t="s">
        <v>1089</v>
      </c>
      <c r="K32">
        <v>4</v>
      </c>
      <c r="L32" t="s">
        <v>1049</v>
      </c>
      <c r="M32">
        <v>1</v>
      </c>
    </row>
    <row r="33" spans="1:13" x14ac:dyDescent="0.3">
      <c r="A33" t="s">
        <v>71</v>
      </c>
      <c r="B33" t="s">
        <v>8</v>
      </c>
      <c r="C33">
        <v>13</v>
      </c>
      <c r="D33" t="s">
        <v>6</v>
      </c>
      <c r="E33" s="32">
        <v>44945</v>
      </c>
      <c r="F33">
        <v>32</v>
      </c>
      <c r="G33">
        <v>4.4000000000000004</v>
      </c>
      <c r="H33">
        <v>2023</v>
      </c>
      <c r="I33" t="s">
        <v>1066</v>
      </c>
      <c r="J33" t="s">
        <v>1091</v>
      </c>
      <c r="K33">
        <v>4</v>
      </c>
      <c r="L33" t="s">
        <v>1049</v>
      </c>
      <c r="M33">
        <v>1</v>
      </c>
    </row>
    <row r="34" spans="1:13" x14ac:dyDescent="0.3">
      <c r="A34" t="s">
        <v>72</v>
      </c>
      <c r="B34" t="s">
        <v>21</v>
      </c>
      <c r="C34">
        <v>131</v>
      </c>
      <c r="D34" t="s">
        <v>11</v>
      </c>
      <c r="E34" s="32">
        <v>44945</v>
      </c>
      <c r="F34">
        <v>78</v>
      </c>
      <c r="G34">
        <v>4.4000000000000004</v>
      </c>
      <c r="H34">
        <v>2023</v>
      </c>
      <c r="I34" t="s">
        <v>1066</v>
      </c>
      <c r="J34" t="s">
        <v>1089</v>
      </c>
      <c r="K34">
        <v>4</v>
      </c>
      <c r="L34" t="s">
        <v>1049</v>
      </c>
      <c r="M34">
        <v>1</v>
      </c>
    </row>
    <row r="35" spans="1:13" x14ac:dyDescent="0.3">
      <c r="A35" t="s">
        <v>75</v>
      </c>
      <c r="B35" t="s">
        <v>16</v>
      </c>
      <c r="C35">
        <v>37</v>
      </c>
      <c r="D35" t="s">
        <v>9</v>
      </c>
      <c r="E35" s="32">
        <v>44946</v>
      </c>
      <c r="F35">
        <v>96</v>
      </c>
      <c r="G35">
        <v>3.6</v>
      </c>
      <c r="H35">
        <v>2023</v>
      </c>
      <c r="I35" t="s">
        <v>1062</v>
      </c>
      <c r="J35" t="s">
        <v>1088</v>
      </c>
      <c r="K35">
        <v>4</v>
      </c>
      <c r="L35" t="s">
        <v>1049</v>
      </c>
      <c r="M35">
        <v>1</v>
      </c>
    </row>
    <row r="36" spans="1:13" x14ac:dyDescent="0.3">
      <c r="A36" t="s">
        <v>77</v>
      </c>
      <c r="B36" t="s">
        <v>14</v>
      </c>
      <c r="C36">
        <v>100</v>
      </c>
      <c r="D36" t="s">
        <v>13</v>
      </c>
      <c r="E36" s="32">
        <v>44947</v>
      </c>
      <c r="F36">
        <v>135</v>
      </c>
      <c r="G36">
        <v>3.8</v>
      </c>
      <c r="H36">
        <v>2023</v>
      </c>
      <c r="I36" t="s">
        <v>1064</v>
      </c>
      <c r="J36" t="s">
        <v>1087</v>
      </c>
      <c r="K36">
        <v>4</v>
      </c>
      <c r="L36" t="s">
        <v>1049</v>
      </c>
      <c r="M36">
        <v>1</v>
      </c>
    </row>
    <row r="37" spans="1:13" x14ac:dyDescent="0.3">
      <c r="A37" t="s">
        <v>78</v>
      </c>
      <c r="B37" t="s">
        <v>14</v>
      </c>
      <c r="C37">
        <v>79</v>
      </c>
      <c r="D37" t="s">
        <v>6</v>
      </c>
      <c r="E37" s="32">
        <v>44947</v>
      </c>
      <c r="F37">
        <v>140</v>
      </c>
      <c r="G37">
        <v>4.5</v>
      </c>
      <c r="H37">
        <v>2023</v>
      </c>
      <c r="I37" t="s">
        <v>1064</v>
      </c>
      <c r="J37" t="s">
        <v>1087</v>
      </c>
      <c r="K37">
        <v>5</v>
      </c>
      <c r="L37" t="s">
        <v>1049</v>
      </c>
      <c r="M37">
        <v>1</v>
      </c>
    </row>
    <row r="38" spans="1:13" x14ac:dyDescent="0.3">
      <c r="A38" t="s">
        <v>79</v>
      </c>
      <c r="B38" t="s">
        <v>5</v>
      </c>
      <c r="C38">
        <v>157</v>
      </c>
      <c r="D38" t="s">
        <v>11</v>
      </c>
      <c r="E38" s="32">
        <v>44947</v>
      </c>
      <c r="F38">
        <v>69</v>
      </c>
      <c r="G38">
        <v>4.5</v>
      </c>
      <c r="H38">
        <v>2023</v>
      </c>
      <c r="I38" t="s">
        <v>1064</v>
      </c>
      <c r="J38" t="s">
        <v>1089</v>
      </c>
      <c r="K38">
        <v>5</v>
      </c>
      <c r="L38" t="s">
        <v>1049</v>
      </c>
      <c r="M38">
        <v>1</v>
      </c>
    </row>
    <row r="39" spans="1:13" x14ac:dyDescent="0.3">
      <c r="A39" t="s">
        <v>80</v>
      </c>
      <c r="B39" t="s">
        <v>14</v>
      </c>
      <c r="C39">
        <v>59</v>
      </c>
      <c r="D39" t="s">
        <v>10</v>
      </c>
      <c r="E39" s="32">
        <v>44948</v>
      </c>
      <c r="F39">
        <v>136</v>
      </c>
      <c r="G39">
        <v>4.5999999999999996</v>
      </c>
      <c r="H39">
        <v>2023</v>
      </c>
      <c r="I39" t="s">
        <v>1065</v>
      </c>
      <c r="J39" t="s">
        <v>1088</v>
      </c>
      <c r="K39">
        <v>5</v>
      </c>
      <c r="L39" t="s">
        <v>1049</v>
      </c>
      <c r="M39">
        <v>1</v>
      </c>
    </row>
    <row r="40" spans="1:13" x14ac:dyDescent="0.3">
      <c r="A40" t="s">
        <v>81</v>
      </c>
      <c r="B40" t="s">
        <v>16</v>
      </c>
      <c r="C40">
        <v>83</v>
      </c>
      <c r="D40" t="s">
        <v>11</v>
      </c>
      <c r="E40" s="32">
        <v>44948</v>
      </c>
      <c r="F40">
        <v>28</v>
      </c>
      <c r="G40">
        <v>4.5</v>
      </c>
      <c r="H40">
        <v>2023</v>
      </c>
      <c r="I40" t="s">
        <v>1065</v>
      </c>
      <c r="J40" t="s">
        <v>1087</v>
      </c>
      <c r="K40">
        <v>5</v>
      </c>
      <c r="L40" t="s">
        <v>1049</v>
      </c>
      <c r="M40">
        <v>1</v>
      </c>
    </row>
    <row r="41" spans="1:13" x14ac:dyDescent="0.3">
      <c r="A41" t="s">
        <v>82</v>
      </c>
      <c r="B41" t="s">
        <v>5</v>
      </c>
      <c r="C41">
        <v>58</v>
      </c>
      <c r="D41" t="s">
        <v>9</v>
      </c>
      <c r="E41" s="32">
        <v>44949</v>
      </c>
      <c r="F41">
        <v>135</v>
      </c>
      <c r="G41">
        <v>3.3</v>
      </c>
      <c r="H41">
        <v>2023</v>
      </c>
      <c r="I41" t="s">
        <v>1063</v>
      </c>
      <c r="J41" t="s">
        <v>1088</v>
      </c>
      <c r="K41">
        <v>3</v>
      </c>
      <c r="L41" t="s">
        <v>1049</v>
      </c>
      <c r="M41">
        <v>1</v>
      </c>
    </row>
    <row r="42" spans="1:13" x14ac:dyDescent="0.3">
      <c r="A42" t="s">
        <v>83</v>
      </c>
      <c r="B42" t="s">
        <v>19</v>
      </c>
      <c r="C42">
        <v>118</v>
      </c>
      <c r="D42" t="s">
        <v>9</v>
      </c>
      <c r="E42" s="32">
        <v>44949</v>
      </c>
      <c r="F42">
        <v>126</v>
      </c>
      <c r="G42">
        <v>2.2999999999999998</v>
      </c>
      <c r="H42">
        <v>2023</v>
      </c>
      <c r="I42" t="s">
        <v>1063</v>
      </c>
      <c r="J42" t="s">
        <v>1087</v>
      </c>
      <c r="K42">
        <v>2</v>
      </c>
      <c r="L42" t="s">
        <v>1049</v>
      </c>
      <c r="M42">
        <v>1</v>
      </c>
    </row>
    <row r="43" spans="1:13" x14ac:dyDescent="0.3">
      <c r="A43" t="s">
        <v>84</v>
      </c>
      <c r="B43" t="s">
        <v>8</v>
      </c>
      <c r="C43">
        <v>63</v>
      </c>
      <c r="D43" t="s">
        <v>10</v>
      </c>
      <c r="E43" s="32">
        <v>44949</v>
      </c>
      <c r="F43">
        <v>160</v>
      </c>
      <c r="G43">
        <v>4.3</v>
      </c>
      <c r="H43">
        <v>2023</v>
      </c>
      <c r="I43" t="s">
        <v>1063</v>
      </c>
      <c r="J43" t="s">
        <v>1087</v>
      </c>
      <c r="K43">
        <v>4</v>
      </c>
      <c r="L43" t="s">
        <v>1049</v>
      </c>
      <c r="M43">
        <v>1</v>
      </c>
    </row>
    <row r="44" spans="1:13" x14ac:dyDescent="0.3">
      <c r="A44" t="s">
        <v>85</v>
      </c>
      <c r="B44" t="s">
        <v>5</v>
      </c>
      <c r="C44">
        <v>95</v>
      </c>
      <c r="D44" t="s">
        <v>9</v>
      </c>
      <c r="E44" s="32">
        <v>44950</v>
      </c>
      <c r="F44">
        <v>48</v>
      </c>
      <c r="G44">
        <v>4.5999999999999996</v>
      </c>
      <c r="H44">
        <v>2023</v>
      </c>
      <c r="I44" t="s">
        <v>1067</v>
      </c>
      <c r="J44" t="s">
        <v>1087</v>
      </c>
      <c r="K44">
        <v>5</v>
      </c>
      <c r="L44" t="s">
        <v>1049</v>
      </c>
      <c r="M44">
        <v>1</v>
      </c>
    </row>
    <row r="45" spans="1:13" x14ac:dyDescent="0.3">
      <c r="A45" t="s">
        <v>86</v>
      </c>
      <c r="B45" t="s">
        <v>14</v>
      </c>
      <c r="C45">
        <v>74</v>
      </c>
      <c r="D45" t="s">
        <v>11</v>
      </c>
      <c r="E45" s="32">
        <v>44950</v>
      </c>
      <c r="F45">
        <v>66</v>
      </c>
      <c r="G45">
        <v>4</v>
      </c>
      <c r="H45">
        <v>2023</v>
      </c>
      <c r="I45" t="s">
        <v>1067</v>
      </c>
      <c r="J45" t="s">
        <v>1087</v>
      </c>
      <c r="K45">
        <v>4</v>
      </c>
      <c r="L45" t="s">
        <v>1049</v>
      </c>
      <c r="M45">
        <v>1</v>
      </c>
    </row>
    <row r="46" spans="1:13" x14ac:dyDescent="0.3">
      <c r="A46" t="s">
        <v>87</v>
      </c>
      <c r="B46" t="s">
        <v>18</v>
      </c>
      <c r="C46">
        <v>130</v>
      </c>
      <c r="D46" t="s">
        <v>13</v>
      </c>
      <c r="E46" s="32">
        <v>44950</v>
      </c>
      <c r="F46">
        <v>126</v>
      </c>
      <c r="G46">
        <v>2.5</v>
      </c>
      <c r="H46">
        <v>2023</v>
      </c>
      <c r="I46" t="s">
        <v>1067</v>
      </c>
      <c r="J46" t="s">
        <v>1089</v>
      </c>
      <c r="K46">
        <v>3</v>
      </c>
      <c r="L46" t="s">
        <v>1049</v>
      </c>
      <c r="M46">
        <v>1</v>
      </c>
    </row>
    <row r="47" spans="1:13" x14ac:dyDescent="0.3">
      <c r="A47" t="s">
        <v>88</v>
      </c>
      <c r="B47" t="s">
        <v>19</v>
      </c>
      <c r="C47">
        <v>110</v>
      </c>
      <c r="D47" t="s">
        <v>6</v>
      </c>
      <c r="E47" s="32">
        <v>44950</v>
      </c>
      <c r="F47">
        <v>96</v>
      </c>
      <c r="G47">
        <v>5</v>
      </c>
      <c r="H47">
        <v>2023</v>
      </c>
      <c r="I47" t="s">
        <v>1067</v>
      </c>
      <c r="J47" t="s">
        <v>1087</v>
      </c>
      <c r="K47">
        <v>5</v>
      </c>
      <c r="L47" t="s">
        <v>1049</v>
      </c>
      <c r="M47">
        <v>1</v>
      </c>
    </row>
    <row r="48" spans="1:13" x14ac:dyDescent="0.3">
      <c r="A48" t="s">
        <v>89</v>
      </c>
      <c r="B48" t="s">
        <v>14</v>
      </c>
      <c r="C48">
        <v>71</v>
      </c>
      <c r="D48" t="s">
        <v>10</v>
      </c>
      <c r="E48" s="32">
        <v>44951</v>
      </c>
      <c r="F48">
        <v>90</v>
      </c>
      <c r="G48">
        <v>3.8</v>
      </c>
      <c r="H48">
        <v>2023</v>
      </c>
      <c r="I48" t="s">
        <v>1068</v>
      </c>
      <c r="J48" t="s">
        <v>1087</v>
      </c>
      <c r="K48">
        <v>4</v>
      </c>
      <c r="L48" t="s">
        <v>1049</v>
      </c>
      <c r="M48">
        <v>1</v>
      </c>
    </row>
    <row r="49" spans="1:13" x14ac:dyDescent="0.3">
      <c r="A49" t="s">
        <v>92</v>
      </c>
      <c r="B49" t="s">
        <v>19</v>
      </c>
      <c r="C49">
        <v>50</v>
      </c>
      <c r="D49" t="s">
        <v>10</v>
      </c>
      <c r="E49" s="32">
        <v>44952</v>
      </c>
      <c r="F49">
        <v>60</v>
      </c>
      <c r="G49">
        <v>2</v>
      </c>
      <c r="H49">
        <v>2023</v>
      </c>
      <c r="I49" t="s">
        <v>1066</v>
      </c>
      <c r="J49" t="s">
        <v>1088</v>
      </c>
      <c r="K49">
        <v>2</v>
      </c>
      <c r="L49" t="s">
        <v>1049</v>
      </c>
      <c r="M49">
        <v>1</v>
      </c>
    </row>
    <row r="50" spans="1:13" x14ac:dyDescent="0.3">
      <c r="A50" t="s">
        <v>93</v>
      </c>
      <c r="B50" t="s">
        <v>18</v>
      </c>
      <c r="C50">
        <v>124</v>
      </c>
      <c r="D50" t="s">
        <v>13</v>
      </c>
      <c r="E50" s="32">
        <v>44953</v>
      </c>
      <c r="F50">
        <v>215</v>
      </c>
      <c r="G50">
        <v>4.0999999999999996</v>
      </c>
      <c r="H50">
        <v>2023</v>
      </c>
      <c r="I50" t="s">
        <v>1062</v>
      </c>
      <c r="J50" t="s">
        <v>1089</v>
      </c>
      <c r="K50">
        <v>4</v>
      </c>
      <c r="L50" t="s">
        <v>1049</v>
      </c>
      <c r="M50">
        <v>1</v>
      </c>
    </row>
    <row r="51" spans="1:13" x14ac:dyDescent="0.3">
      <c r="A51" t="s">
        <v>98</v>
      </c>
      <c r="B51" t="s">
        <v>14</v>
      </c>
      <c r="C51">
        <v>67</v>
      </c>
      <c r="D51" t="s">
        <v>11</v>
      </c>
      <c r="E51" s="32">
        <v>44954</v>
      </c>
      <c r="F51">
        <v>168</v>
      </c>
      <c r="G51">
        <v>2.6</v>
      </c>
      <c r="H51">
        <v>2023</v>
      </c>
      <c r="I51" t="s">
        <v>1064</v>
      </c>
      <c r="J51" t="s">
        <v>1087</v>
      </c>
      <c r="K51">
        <v>3</v>
      </c>
      <c r="L51" t="s">
        <v>1049</v>
      </c>
      <c r="M51">
        <v>1</v>
      </c>
    </row>
    <row r="52" spans="1:13" x14ac:dyDescent="0.3">
      <c r="A52" t="s">
        <v>99</v>
      </c>
      <c r="B52" t="s">
        <v>5</v>
      </c>
      <c r="C52">
        <v>114</v>
      </c>
      <c r="D52" t="s">
        <v>6</v>
      </c>
      <c r="E52" s="32">
        <v>44956</v>
      </c>
      <c r="F52">
        <v>42</v>
      </c>
      <c r="G52">
        <v>2.6</v>
      </c>
      <c r="H52">
        <v>2023</v>
      </c>
      <c r="I52" t="s">
        <v>1063</v>
      </c>
      <c r="J52" t="s">
        <v>1087</v>
      </c>
      <c r="K52">
        <v>3</v>
      </c>
      <c r="L52" t="s">
        <v>1049</v>
      </c>
      <c r="M52">
        <v>1</v>
      </c>
    </row>
    <row r="53" spans="1:13" x14ac:dyDescent="0.3">
      <c r="A53" t="s">
        <v>101</v>
      </c>
      <c r="B53" t="s">
        <v>8</v>
      </c>
      <c r="C53">
        <v>69</v>
      </c>
      <c r="D53" t="s">
        <v>6</v>
      </c>
      <c r="E53" s="32">
        <v>44956</v>
      </c>
      <c r="F53">
        <v>108</v>
      </c>
      <c r="G53">
        <v>3.3</v>
      </c>
      <c r="H53">
        <v>2023</v>
      </c>
      <c r="I53" t="s">
        <v>1063</v>
      </c>
      <c r="J53" t="s">
        <v>1087</v>
      </c>
      <c r="K53">
        <v>3</v>
      </c>
      <c r="L53" t="s">
        <v>1049</v>
      </c>
      <c r="M53">
        <v>1</v>
      </c>
    </row>
    <row r="54" spans="1:13" x14ac:dyDescent="0.3">
      <c r="A54" t="s">
        <v>102</v>
      </c>
      <c r="B54" t="s">
        <v>18</v>
      </c>
      <c r="C54">
        <v>145</v>
      </c>
      <c r="D54" t="s">
        <v>9</v>
      </c>
      <c r="E54" s="32">
        <v>44956</v>
      </c>
      <c r="F54">
        <v>78</v>
      </c>
      <c r="G54">
        <v>1.9</v>
      </c>
      <c r="H54">
        <v>2023</v>
      </c>
      <c r="I54" t="s">
        <v>1063</v>
      </c>
      <c r="J54" t="s">
        <v>1089</v>
      </c>
      <c r="K54">
        <v>2</v>
      </c>
      <c r="L54" t="s">
        <v>1049</v>
      </c>
      <c r="M54">
        <v>1</v>
      </c>
    </row>
    <row r="55" spans="1:13" x14ac:dyDescent="0.3">
      <c r="A55" t="s">
        <v>104</v>
      </c>
      <c r="B55" t="s">
        <v>8</v>
      </c>
      <c r="C55">
        <v>62</v>
      </c>
      <c r="D55" t="s">
        <v>10</v>
      </c>
      <c r="E55" s="32">
        <v>44957</v>
      </c>
      <c r="F55">
        <v>99</v>
      </c>
      <c r="G55">
        <v>3.6</v>
      </c>
      <c r="H55">
        <v>2023</v>
      </c>
      <c r="I55" t="s">
        <v>1067</v>
      </c>
      <c r="J55" t="s">
        <v>1087</v>
      </c>
      <c r="K55">
        <v>4</v>
      </c>
      <c r="L55" t="s">
        <v>1049</v>
      </c>
      <c r="M55">
        <v>1</v>
      </c>
    </row>
    <row r="56" spans="1:13" x14ac:dyDescent="0.3">
      <c r="A56" t="s">
        <v>105</v>
      </c>
      <c r="B56" t="s">
        <v>22</v>
      </c>
      <c r="C56">
        <v>79</v>
      </c>
      <c r="D56" t="s">
        <v>6</v>
      </c>
      <c r="E56" s="32">
        <v>44958</v>
      </c>
      <c r="F56">
        <v>148</v>
      </c>
      <c r="G56">
        <v>4.5</v>
      </c>
      <c r="H56">
        <v>2023</v>
      </c>
      <c r="I56" t="s">
        <v>1068</v>
      </c>
      <c r="J56" t="s">
        <v>1087</v>
      </c>
      <c r="K56">
        <v>5</v>
      </c>
      <c r="L56" t="s">
        <v>1050</v>
      </c>
      <c r="M56">
        <v>2</v>
      </c>
    </row>
    <row r="57" spans="1:13" x14ac:dyDescent="0.3">
      <c r="A57" t="s">
        <v>106</v>
      </c>
      <c r="B57" t="s">
        <v>18</v>
      </c>
      <c r="C57">
        <v>45</v>
      </c>
      <c r="D57" t="s">
        <v>13</v>
      </c>
      <c r="E57" s="32">
        <v>44958</v>
      </c>
      <c r="F57">
        <v>34</v>
      </c>
      <c r="G57">
        <v>3.7</v>
      </c>
      <c r="H57">
        <v>2023</v>
      </c>
      <c r="I57" t="s">
        <v>1068</v>
      </c>
      <c r="J57" t="s">
        <v>1088</v>
      </c>
      <c r="K57">
        <v>4</v>
      </c>
      <c r="L57" t="s">
        <v>1050</v>
      </c>
      <c r="M57">
        <v>2</v>
      </c>
    </row>
    <row r="58" spans="1:13" x14ac:dyDescent="0.3">
      <c r="A58" t="s">
        <v>107</v>
      </c>
      <c r="B58" t="s">
        <v>8</v>
      </c>
      <c r="C58">
        <v>137</v>
      </c>
      <c r="D58" t="s">
        <v>6</v>
      </c>
      <c r="E58" s="32">
        <v>44958</v>
      </c>
      <c r="F58">
        <v>86</v>
      </c>
      <c r="G58">
        <v>4.8</v>
      </c>
      <c r="H58">
        <v>2023</v>
      </c>
      <c r="I58" t="s">
        <v>1068</v>
      </c>
      <c r="J58" t="s">
        <v>1089</v>
      </c>
      <c r="K58">
        <v>5</v>
      </c>
      <c r="L58" t="s">
        <v>1050</v>
      </c>
      <c r="M58">
        <v>2</v>
      </c>
    </row>
    <row r="59" spans="1:13" x14ac:dyDescent="0.3">
      <c r="A59" t="s">
        <v>108</v>
      </c>
      <c r="B59" t="s">
        <v>5</v>
      </c>
      <c r="C59">
        <v>109</v>
      </c>
      <c r="D59" t="s">
        <v>10</v>
      </c>
      <c r="E59" s="32">
        <v>44958</v>
      </c>
      <c r="F59">
        <v>105</v>
      </c>
      <c r="G59">
        <v>3.3</v>
      </c>
      <c r="H59">
        <v>2023</v>
      </c>
      <c r="I59" t="s">
        <v>1068</v>
      </c>
      <c r="J59" t="s">
        <v>1087</v>
      </c>
      <c r="K59">
        <v>3</v>
      </c>
      <c r="L59" t="s">
        <v>1050</v>
      </c>
      <c r="M59">
        <v>2</v>
      </c>
    </row>
    <row r="60" spans="1:13" x14ac:dyDescent="0.3">
      <c r="A60" t="s">
        <v>110</v>
      </c>
      <c r="B60" t="s">
        <v>8</v>
      </c>
      <c r="C60">
        <v>137</v>
      </c>
      <c r="D60" t="s">
        <v>13</v>
      </c>
      <c r="E60" s="32">
        <v>44958</v>
      </c>
      <c r="F60">
        <v>90</v>
      </c>
      <c r="G60">
        <v>4.0999999999999996</v>
      </c>
      <c r="H60">
        <v>2023</v>
      </c>
      <c r="I60" t="s">
        <v>1068</v>
      </c>
      <c r="J60" t="s">
        <v>1089</v>
      </c>
      <c r="K60">
        <v>4</v>
      </c>
      <c r="L60" t="s">
        <v>1050</v>
      </c>
      <c r="M60">
        <v>2</v>
      </c>
    </row>
    <row r="61" spans="1:13" x14ac:dyDescent="0.3">
      <c r="A61" t="s">
        <v>111</v>
      </c>
      <c r="B61" t="s">
        <v>21</v>
      </c>
      <c r="C61">
        <v>99</v>
      </c>
      <c r="D61" t="s">
        <v>10</v>
      </c>
      <c r="E61" s="32">
        <v>44959</v>
      </c>
      <c r="F61">
        <v>112</v>
      </c>
      <c r="G61">
        <v>4.9000000000000004</v>
      </c>
      <c r="H61">
        <v>2023</v>
      </c>
      <c r="I61" t="s">
        <v>1066</v>
      </c>
      <c r="J61" t="s">
        <v>1087</v>
      </c>
      <c r="K61">
        <v>5</v>
      </c>
      <c r="L61" t="s">
        <v>1050</v>
      </c>
      <c r="M61">
        <v>2</v>
      </c>
    </row>
    <row r="62" spans="1:13" x14ac:dyDescent="0.3">
      <c r="A62" t="s">
        <v>112</v>
      </c>
      <c r="B62" t="s">
        <v>19</v>
      </c>
      <c r="C62">
        <v>100</v>
      </c>
      <c r="D62" t="s">
        <v>10</v>
      </c>
      <c r="E62" s="32">
        <v>44959</v>
      </c>
      <c r="F62">
        <v>135</v>
      </c>
      <c r="G62">
        <v>4</v>
      </c>
      <c r="H62">
        <v>2023</v>
      </c>
      <c r="I62" t="s">
        <v>1066</v>
      </c>
      <c r="J62" t="s">
        <v>1087</v>
      </c>
      <c r="K62">
        <v>4</v>
      </c>
      <c r="L62" t="s">
        <v>1050</v>
      </c>
      <c r="M62">
        <v>2</v>
      </c>
    </row>
    <row r="63" spans="1:13" x14ac:dyDescent="0.3">
      <c r="A63" t="s">
        <v>114</v>
      </c>
      <c r="B63" t="s">
        <v>5</v>
      </c>
      <c r="C63">
        <v>87</v>
      </c>
      <c r="D63" t="s">
        <v>11</v>
      </c>
      <c r="E63" s="32">
        <v>44959</v>
      </c>
      <c r="F63">
        <v>155</v>
      </c>
      <c r="G63">
        <v>4.5</v>
      </c>
      <c r="H63">
        <v>2023</v>
      </c>
      <c r="I63" t="s">
        <v>1066</v>
      </c>
      <c r="J63" t="s">
        <v>1087</v>
      </c>
      <c r="K63">
        <v>5</v>
      </c>
      <c r="L63" t="s">
        <v>1050</v>
      </c>
      <c r="M63">
        <v>2</v>
      </c>
    </row>
    <row r="64" spans="1:13" x14ac:dyDescent="0.3">
      <c r="A64" t="s">
        <v>115</v>
      </c>
      <c r="B64" t="s">
        <v>21</v>
      </c>
      <c r="C64">
        <v>143</v>
      </c>
      <c r="D64" t="s">
        <v>11</v>
      </c>
      <c r="E64" s="32">
        <v>44961</v>
      </c>
      <c r="F64">
        <v>124</v>
      </c>
      <c r="G64">
        <v>4.9000000000000004</v>
      </c>
      <c r="H64">
        <v>2023</v>
      </c>
      <c r="I64" t="s">
        <v>1064</v>
      </c>
      <c r="J64" t="s">
        <v>1089</v>
      </c>
      <c r="K64">
        <v>5</v>
      </c>
      <c r="L64" t="s">
        <v>1050</v>
      </c>
      <c r="M64">
        <v>2</v>
      </c>
    </row>
    <row r="65" spans="1:13" x14ac:dyDescent="0.3">
      <c r="A65" t="s">
        <v>116</v>
      </c>
      <c r="B65" t="s">
        <v>19</v>
      </c>
      <c r="C65">
        <v>84</v>
      </c>
      <c r="D65" t="s">
        <v>10</v>
      </c>
      <c r="E65" s="32">
        <v>44961</v>
      </c>
      <c r="F65">
        <v>195</v>
      </c>
      <c r="G65">
        <v>4.0999999999999996</v>
      </c>
      <c r="H65">
        <v>2023</v>
      </c>
      <c r="I65" t="s">
        <v>1064</v>
      </c>
      <c r="J65" t="s">
        <v>1087</v>
      </c>
      <c r="K65">
        <v>4</v>
      </c>
      <c r="L65" t="s">
        <v>1050</v>
      </c>
      <c r="M65">
        <v>2</v>
      </c>
    </row>
    <row r="66" spans="1:13" x14ac:dyDescent="0.3">
      <c r="A66" t="s">
        <v>118</v>
      </c>
      <c r="B66" t="s">
        <v>15</v>
      </c>
      <c r="C66">
        <v>135</v>
      </c>
      <c r="D66" t="s">
        <v>13</v>
      </c>
      <c r="E66" s="32">
        <v>44964</v>
      </c>
      <c r="F66">
        <v>35</v>
      </c>
      <c r="G66">
        <v>4.8</v>
      </c>
      <c r="H66">
        <v>2023</v>
      </c>
      <c r="I66" t="s">
        <v>1067</v>
      </c>
      <c r="J66" t="s">
        <v>1089</v>
      </c>
      <c r="K66">
        <v>5</v>
      </c>
      <c r="L66" t="s">
        <v>1050</v>
      </c>
      <c r="M66">
        <v>2</v>
      </c>
    </row>
    <row r="67" spans="1:13" x14ac:dyDescent="0.3">
      <c r="A67" t="s">
        <v>119</v>
      </c>
      <c r="B67" t="s">
        <v>16</v>
      </c>
      <c r="C67">
        <v>152</v>
      </c>
      <c r="D67" t="s">
        <v>9</v>
      </c>
      <c r="E67" s="32">
        <v>44964</v>
      </c>
      <c r="F67">
        <v>123</v>
      </c>
      <c r="G67">
        <v>4.5999999999999996</v>
      </c>
      <c r="H67">
        <v>2023</v>
      </c>
      <c r="I67" t="s">
        <v>1067</v>
      </c>
      <c r="J67" t="s">
        <v>1089</v>
      </c>
      <c r="K67">
        <v>5</v>
      </c>
      <c r="L67" t="s">
        <v>1050</v>
      </c>
      <c r="M67">
        <v>2</v>
      </c>
    </row>
    <row r="68" spans="1:13" x14ac:dyDescent="0.3">
      <c r="A68" t="s">
        <v>122</v>
      </c>
      <c r="B68" t="s">
        <v>16</v>
      </c>
      <c r="C68">
        <v>95</v>
      </c>
      <c r="D68" t="s">
        <v>9</v>
      </c>
      <c r="E68" s="32">
        <v>44965</v>
      </c>
      <c r="F68">
        <v>130</v>
      </c>
      <c r="G68">
        <v>5</v>
      </c>
      <c r="H68">
        <v>2023</v>
      </c>
      <c r="I68" t="s">
        <v>1068</v>
      </c>
      <c r="J68" t="s">
        <v>1087</v>
      </c>
      <c r="K68">
        <v>5</v>
      </c>
      <c r="L68" t="s">
        <v>1050</v>
      </c>
      <c r="M68">
        <v>2</v>
      </c>
    </row>
    <row r="69" spans="1:13" x14ac:dyDescent="0.3">
      <c r="A69" t="s">
        <v>126</v>
      </c>
      <c r="B69" t="s">
        <v>14</v>
      </c>
      <c r="C69">
        <v>95</v>
      </c>
      <c r="D69" t="s">
        <v>10</v>
      </c>
      <c r="E69" s="32">
        <v>44967</v>
      </c>
      <c r="F69">
        <v>66</v>
      </c>
      <c r="G69">
        <v>4.5999999999999996</v>
      </c>
      <c r="H69">
        <v>2023</v>
      </c>
      <c r="I69" t="s">
        <v>1062</v>
      </c>
      <c r="J69" t="s">
        <v>1087</v>
      </c>
      <c r="K69">
        <v>5</v>
      </c>
      <c r="L69" t="s">
        <v>1050</v>
      </c>
      <c r="M69">
        <v>2</v>
      </c>
    </row>
    <row r="70" spans="1:13" x14ac:dyDescent="0.3">
      <c r="A70" t="s">
        <v>127</v>
      </c>
      <c r="B70" t="s">
        <v>16</v>
      </c>
      <c r="C70">
        <v>131</v>
      </c>
      <c r="D70" t="s">
        <v>11</v>
      </c>
      <c r="E70" s="32">
        <v>44967</v>
      </c>
      <c r="F70">
        <v>172</v>
      </c>
      <c r="G70">
        <v>2.6</v>
      </c>
      <c r="H70">
        <v>2023</v>
      </c>
      <c r="I70" t="s">
        <v>1062</v>
      </c>
      <c r="J70" t="s">
        <v>1089</v>
      </c>
      <c r="K70">
        <v>3</v>
      </c>
      <c r="L70" t="s">
        <v>1050</v>
      </c>
      <c r="M70">
        <v>2</v>
      </c>
    </row>
    <row r="71" spans="1:13" x14ac:dyDescent="0.3">
      <c r="A71" t="s">
        <v>128</v>
      </c>
      <c r="B71" t="s">
        <v>22</v>
      </c>
      <c r="C71">
        <v>67</v>
      </c>
      <c r="D71" t="s">
        <v>13</v>
      </c>
      <c r="E71" s="32">
        <v>44968</v>
      </c>
      <c r="F71">
        <v>24</v>
      </c>
      <c r="G71">
        <v>4.3</v>
      </c>
      <c r="H71">
        <v>2023</v>
      </c>
      <c r="I71" t="s">
        <v>1064</v>
      </c>
      <c r="J71" t="s">
        <v>1087</v>
      </c>
      <c r="K71">
        <v>4</v>
      </c>
      <c r="L71" t="s">
        <v>1050</v>
      </c>
      <c r="M71">
        <v>2</v>
      </c>
    </row>
    <row r="72" spans="1:13" x14ac:dyDescent="0.3">
      <c r="A72" t="s">
        <v>129</v>
      </c>
      <c r="B72" t="s">
        <v>21</v>
      </c>
      <c r="C72">
        <v>111</v>
      </c>
      <c r="D72" t="s">
        <v>11</v>
      </c>
      <c r="E72" s="32">
        <v>44969</v>
      </c>
      <c r="F72">
        <v>43</v>
      </c>
      <c r="G72">
        <v>3.9</v>
      </c>
      <c r="H72">
        <v>2023</v>
      </c>
      <c r="I72" t="s">
        <v>1065</v>
      </c>
      <c r="J72" t="s">
        <v>1087</v>
      </c>
      <c r="K72">
        <v>4</v>
      </c>
      <c r="L72" t="s">
        <v>1050</v>
      </c>
      <c r="M72">
        <v>2</v>
      </c>
    </row>
    <row r="73" spans="1:13" x14ac:dyDescent="0.3">
      <c r="A73" t="s">
        <v>133</v>
      </c>
      <c r="B73" t="s">
        <v>19</v>
      </c>
      <c r="C73">
        <v>137</v>
      </c>
      <c r="D73" t="s">
        <v>11</v>
      </c>
      <c r="E73" s="32">
        <v>44970</v>
      </c>
      <c r="F73">
        <v>34</v>
      </c>
      <c r="G73">
        <v>2.9</v>
      </c>
      <c r="H73">
        <v>2023</v>
      </c>
      <c r="I73" t="s">
        <v>1063</v>
      </c>
      <c r="J73" t="s">
        <v>1089</v>
      </c>
      <c r="K73">
        <v>3</v>
      </c>
      <c r="L73" t="s">
        <v>1050</v>
      </c>
      <c r="M73">
        <v>2</v>
      </c>
    </row>
    <row r="74" spans="1:13" x14ac:dyDescent="0.3">
      <c r="A74" t="s">
        <v>138</v>
      </c>
      <c r="B74" t="s">
        <v>8</v>
      </c>
      <c r="C74">
        <v>19</v>
      </c>
      <c r="D74" t="s">
        <v>11</v>
      </c>
      <c r="E74" s="32">
        <v>44972</v>
      </c>
      <c r="F74">
        <v>28</v>
      </c>
      <c r="G74">
        <v>4.9000000000000004</v>
      </c>
      <c r="H74">
        <v>2023</v>
      </c>
      <c r="I74" t="s">
        <v>1068</v>
      </c>
      <c r="J74" t="s">
        <v>1091</v>
      </c>
      <c r="K74">
        <v>5</v>
      </c>
      <c r="L74" t="s">
        <v>1050</v>
      </c>
      <c r="M74">
        <v>2</v>
      </c>
    </row>
    <row r="75" spans="1:13" x14ac:dyDescent="0.3">
      <c r="A75" t="s">
        <v>139</v>
      </c>
      <c r="B75" t="s">
        <v>18</v>
      </c>
      <c r="C75">
        <v>38</v>
      </c>
      <c r="D75" t="s">
        <v>13</v>
      </c>
      <c r="E75" s="32">
        <v>44972</v>
      </c>
      <c r="F75">
        <v>100</v>
      </c>
      <c r="G75">
        <v>4.8</v>
      </c>
      <c r="H75">
        <v>2023</v>
      </c>
      <c r="I75" t="s">
        <v>1068</v>
      </c>
      <c r="J75" t="s">
        <v>1088</v>
      </c>
      <c r="K75">
        <v>5</v>
      </c>
      <c r="L75" t="s">
        <v>1050</v>
      </c>
      <c r="M75">
        <v>2</v>
      </c>
    </row>
    <row r="76" spans="1:13" x14ac:dyDescent="0.3">
      <c r="A76" t="s">
        <v>140</v>
      </c>
      <c r="B76" t="s">
        <v>14</v>
      </c>
      <c r="C76">
        <v>55</v>
      </c>
      <c r="D76" t="s">
        <v>11</v>
      </c>
      <c r="E76" s="32">
        <v>44972</v>
      </c>
      <c r="F76">
        <v>23</v>
      </c>
      <c r="G76">
        <v>3.6</v>
      </c>
      <c r="H76">
        <v>2023</v>
      </c>
      <c r="I76" t="s">
        <v>1068</v>
      </c>
      <c r="J76" t="s">
        <v>1088</v>
      </c>
      <c r="K76">
        <v>4</v>
      </c>
      <c r="L76" t="s">
        <v>1050</v>
      </c>
      <c r="M76">
        <v>2</v>
      </c>
    </row>
    <row r="77" spans="1:13" x14ac:dyDescent="0.3">
      <c r="A77" t="s">
        <v>141</v>
      </c>
      <c r="B77" t="s">
        <v>22</v>
      </c>
      <c r="C77">
        <v>27</v>
      </c>
      <c r="D77" t="s">
        <v>6</v>
      </c>
      <c r="E77" s="32">
        <v>44973</v>
      </c>
      <c r="F77">
        <v>70</v>
      </c>
      <c r="G77">
        <v>3.9</v>
      </c>
      <c r="H77">
        <v>2023</v>
      </c>
      <c r="I77" t="s">
        <v>1066</v>
      </c>
      <c r="J77" t="s">
        <v>1091</v>
      </c>
      <c r="K77">
        <v>4</v>
      </c>
      <c r="L77" t="s">
        <v>1050</v>
      </c>
      <c r="M77">
        <v>2</v>
      </c>
    </row>
    <row r="78" spans="1:13" x14ac:dyDescent="0.3">
      <c r="A78" t="s">
        <v>142</v>
      </c>
      <c r="B78" t="s">
        <v>22</v>
      </c>
      <c r="C78">
        <v>32</v>
      </c>
      <c r="D78" t="s">
        <v>6</v>
      </c>
      <c r="E78" s="32">
        <v>44973</v>
      </c>
      <c r="F78">
        <v>37</v>
      </c>
      <c r="G78">
        <v>1.9</v>
      </c>
      <c r="H78">
        <v>2023</v>
      </c>
      <c r="I78" t="s">
        <v>1066</v>
      </c>
      <c r="J78" t="s">
        <v>1088</v>
      </c>
      <c r="K78">
        <v>2</v>
      </c>
      <c r="L78" t="s">
        <v>1050</v>
      </c>
      <c r="M78">
        <v>2</v>
      </c>
    </row>
    <row r="79" spans="1:13" x14ac:dyDescent="0.3">
      <c r="A79" t="s">
        <v>147</v>
      </c>
      <c r="B79" t="s">
        <v>15</v>
      </c>
      <c r="C79">
        <v>155</v>
      </c>
      <c r="D79" t="s">
        <v>10</v>
      </c>
      <c r="E79" s="32">
        <v>44975</v>
      </c>
      <c r="F79">
        <v>180</v>
      </c>
      <c r="G79">
        <v>2.2000000000000002</v>
      </c>
      <c r="H79">
        <v>2023</v>
      </c>
      <c r="I79" t="s">
        <v>1064</v>
      </c>
      <c r="J79" t="s">
        <v>1089</v>
      </c>
      <c r="K79">
        <v>2</v>
      </c>
      <c r="L79" t="s">
        <v>1050</v>
      </c>
      <c r="M79">
        <v>2</v>
      </c>
    </row>
    <row r="80" spans="1:13" x14ac:dyDescent="0.3">
      <c r="A80" t="s">
        <v>149</v>
      </c>
      <c r="B80" t="s">
        <v>18</v>
      </c>
      <c r="C80">
        <v>95</v>
      </c>
      <c r="D80" t="s">
        <v>9</v>
      </c>
      <c r="E80" s="32">
        <v>44975</v>
      </c>
      <c r="F80">
        <v>52</v>
      </c>
      <c r="G80">
        <v>4.8</v>
      </c>
      <c r="H80">
        <v>2023</v>
      </c>
      <c r="I80" t="s">
        <v>1064</v>
      </c>
      <c r="J80" t="s">
        <v>1087</v>
      </c>
      <c r="K80">
        <v>5</v>
      </c>
      <c r="L80" t="s">
        <v>1050</v>
      </c>
      <c r="M80">
        <v>2</v>
      </c>
    </row>
    <row r="81" spans="1:13" x14ac:dyDescent="0.3">
      <c r="A81" t="s">
        <v>150</v>
      </c>
      <c r="B81" t="s">
        <v>19</v>
      </c>
      <c r="C81">
        <v>65</v>
      </c>
      <c r="D81" t="s">
        <v>10</v>
      </c>
      <c r="E81" s="32">
        <v>44976</v>
      </c>
      <c r="F81">
        <v>80</v>
      </c>
      <c r="G81">
        <v>4</v>
      </c>
      <c r="H81">
        <v>2023</v>
      </c>
      <c r="I81" t="s">
        <v>1065</v>
      </c>
      <c r="J81" t="s">
        <v>1087</v>
      </c>
      <c r="K81">
        <v>4</v>
      </c>
      <c r="L81" t="s">
        <v>1050</v>
      </c>
      <c r="M81">
        <v>2</v>
      </c>
    </row>
    <row r="82" spans="1:13" x14ac:dyDescent="0.3">
      <c r="A82" t="s">
        <v>151</v>
      </c>
      <c r="B82" t="s">
        <v>8</v>
      </c>
      <c r="C82">
        <v>114</v>
      </c>
      <c r="D82" t="s">
        <v>11</v>
      </c>
      <c r="E82" s="32">
        <v>44976</v>
      </c>
      <c r="F82">
        <v>54</v>
      </c>
      <c r="G82">
        <v>1.1000000000000001</v>
      </c>
      <c r="H82">
        <v>2023</v>
      </c>
      <c r="I82" t="s">
        <v>1065</v>
      </c>
      <c r="J82" t="s">
        <v>1087</v>
      </c>
      <c r="K82">
        <v>1</v>
      </c>
      <c r="L82" t="s">
        <v>1050</v>
      </c>
      <c r="M82">
        <v>2</v>
      </c>
    </row>
    <row r="83" spans="1:13" x14ac:dyDescent="0.3">
      <c r="A83" t="s">
        <v>153</v>
      </c>
      <c r="B83" t="s">
        <v>19</v>
      </c>
      <c r="C83">
        <v>114</v>
      </c>
      <c r="D83" t="s">
        <v>10</v>
      </c>
      <c r="E83" s="32">
        <v>44978</v>
      </c>
      <c r="F83">
        <v>120</v>
      </c>
      <c r="G83">
        <v>1.8</v>
      </c>
      <c r="H83">
        <v>2023</v>
      </c>
      <c r="I83" t="s">
        <v>1067</v>
      </c>
      <c r="J83" t="s">
        <v>1087</v>
      </c>
      <c r="K83">
        <v>2</v>
      </c>
      <c r="L83" t="s">
        <v>1050</v>
      </c>
      <c r="M83">
        <v>2</v>
      </c>
    </row>
    <row r="84" spans="1:13" x14ac:dyDescent="0.3">
      <c r="A84" t="s">
        <v>154</v>
      </c>
      <c r="B84" t="s">
        <v>15</v>
      </c>
      <c r="C84">
        <v>130</v>
      </c>
      <c r="D84" t="s">
        <v>13</v>
      </c>
      <c r="E84" s="32">
        <v>44978</v>
      </c>
      <c r="F84">
        <v>150</v>
      </c>
      <c r="G84">
        <v>1</v>
      </c>
      <c r="H84">
        <v>2023</v>
      </c>
      <c r="I84" t="s">
        <v>1067</v>
      </c>
      <c r="J84" t="s">
        <v>1089</v>
      </c>
      <c r="K84">
        <v>1</v>
      </c>
      <c r="L84" t="s">
        <v>1050</v>
      </c>
      <c r="M84">
        <v>2</v>
      </c>
    </row>
    <row r="85" spans="1:13" x14ac:dyDescent="0.3">
      <c r="A85" t="s">
        <v>157</v>
      </c>
      <c r="B85" t="s">
        <v>18</v>
      </c>
      <c r="C85">
        <v>154</v>
      </c>
      <c r="D85" t="s">
        <v>11</v>
      </c>
      <c r="E85" s="32">
        <v>44979</v>
      </c>
      <c r="F85">
        <v>22</v>
      </c>
      <c r="G85">
        <v>3.4</v>
      </c>
      <c r="H85">
        <v>2023</v>
      </c>
      <c r="I85" t="s">
        <v>1068</v>
      </c>
      <c r="J85" t="s">
        <v>1089</v>
      </c>
      <c r="K85">
        <v>3</v>
      </c>
      <c r="L85" t="s">
        <v>1050</v>
      </c>
      <c r="M85">
        <v>2</v>
      </c>
    </row>
    <row r="86" spans="1:13" x14ac:dyDescent="0.3">
      <c r="A86" t="s">
        <v>158</v>
      </c>
      <c r="B86" t="s">
        <v>19</v>
      </c>
      <c r="C86">
        <v>115</v>
      </c>
      <c r="D86" t="s">
        <v>13</v>
      </c>
      <c r="E86" s="32">
        <v>44980</v>
      </c>
      <c r="F86">
        <v>150</v>
      </c>
      <c r="G86">
        <v>4.0999999999999996</v>
      </c>
      <c r="H86">
        <v>2023</v>
      </c>
      <c r="I86" t="s">
        <v>1066</v>
      </c>
      <c r="J86" t="s">
        <v>1087</v>
      </c>
      <c r="K86">
        <v>4</v>
      </c>
      <c r="L86" t="s">
        <v>1050</v>
      </c>
      <c r="M86">
        <v>2</v>
      </c>
    </row>
    <row r="87" spans="1:13" x14ac:dyDescent="0.3">
      <c r="A87" t="s">
        <v>159</v>
      </c>
      <c r="B87" t="s">
        <v>5</v>
      </c>
      <c r="C87">
        <v>138</v>
      </c>
      <c r="D87" t="s">
        <v>9</v>
      </c>
      <c r="E87" s="32">
        <v>44981</v>
      </c>
      <c r="F87">
        <v>35</v>
      </c>
      <c r="G87">
        <v>4.8</v>
      </c>
      <c r="H87">
        <v>2023</v>
      </c>
      <c r="I87" t="s">
        <v>1062</v>
      </c>
      <c r="J87" t="s">
        <v>1089</v>
      </c>
      <c r="K87">
        <v>5</v>
      </c>
      <c r="L87" t="s">
        <v>1050</v>
      </c>
      <c r="M87">
        <v>2</v>
      </c>
    </row>
    <row r="88" spans="1:13" x14ac:dyDescent="0.3">
      <c r="A88" t="s">
        <v>160</v>
      </c>
      <c r="B88" t="s">
        <v>21</v>
      </c>
      <c r="C88">
        <v>153</v>
      </c>
      <c r="D88" t="s">
        <v>10</v>
      </c>
      <c r="E88" s="32">
        <v>44981</v>
      </c>
      <c r="F88">
        <v>200</v>
      </c>
      <c r="G88">
        <v>2</v>
      </c>
      <c r="H88">
        <v>2023</v>
      </c>
      <c r="I88" t="s">
        <v>1062</v>
      </c>
      <c r="J88" t="s">
        <v>1089</v>
      </c>
      <c r="K88">
        <v>2</v>
      </c>
      <c r="L88" t="s">
        <v>1050</v>
      </c>
      <c r="M88">
        <v>2</v>
      </c>
    </row>
    <row r="89" spans="1:13" x14ac:dyDescent="0.3">
      <c r="A89" t="s">
        <v>161</v>
      </c>
      <c r="B89" t="s">
        <v>19</v>
      </c>
      <c r="C89">
        <v>61</v>
      </c>
      <c r="D89" t="s">
        <v>6</v>
      </c>
      <c r="E89" s="32">
        <v>44982</v>
      </c>
      <c r="F89">
        <v>150</v>
      </c>
      <c r="G89">
        <v>4.5999999999999996</v>
      </c>
      <c r="H89">
        <v>2023</v>
      </c>
      <c r="I89" t="s">
        <v>1064</v>
      </c>
      <c r="J89" t="s">
        <v>1087</v>
      </c>
      <c r="K89">
        <v>5</v>
      </c>
      <c r="L89" t="s">
        <v>1050</v>
      </c>
      <c r="M89">
        <v>2</v>
      </c>
    </row>
    <row r="90" spans="1:13" x14ac:dyDescent="0.3">
      <c r="A90" t="s">
        <v>162</v>
      </c>
      <c r="B90" t="s">
        <v>22</v>
      </c>
      <c r="C90">
        <v>62</v>
      </c>
      <c r="D90" t="s">
        <v>10</v>
      </c>
      <c r="E90" s="32">
        <v>44982</v>
      </c>
      <c r="F90">
        <v>21</v>
      </c>
      <c r="G90">
        <v>2.6</v>
      </c>
      <c r="H90">
        <v>2023</v>
      </c>
      <c r="I90" t="s">
        <v>1064</v>
      </c>
      <c r="J90" t="s">
        <v>1087</v>
      </c>
      <c r="K90">
        <v>3</v>
      </c>
      <c r="L90" t="s">
        <v>1050</v>
      </c>
      <c r="M90">
        <v>2</v>
      </c>
    </row>
    <row r="91" spans="1:13" x14ac:dyDescent="0.3">
      <c r="A91" t="s">
        <v>164</v>
      </c>
      <c r="B91" t="s">
        <v>16</v>
      </c>
      <c r="C91">
        <v>102</v>
      </c>
      <c r="D91" t="s">
        <v>11</v>
      </c>
      <c r="E91" s="32">
        <v>44983</v>
      </c>
      <c r="F91">
        <v>165</v>
      </c>
      <c r="G91">
        <v>2.7</v>
      </c>
      <c r="H91">
        <v>2023</v>
      </c>
      <c r="I91" t="s">
        <v>1065</v>
      </c>
      <c r="J91" t="s">
        <v>1087</v>
      </c>
      <c r="K91">
        <v>3</v>
      </c>
      <c r="L91" t="s">
        <v>1050</v>
      </c>
      <c r="M91">
        <v>2</v>
      </c>
    </row>
    <row r="92" spans="1:13" x14ac:dyDescent="0.3">
      <c r="A92" t="s">
        <v>168</v>
      </c>
      <c r="B92" t="s">
        <v>22</v>
      </c>
      <c r="C92">
        <v>42</v>
      </c>
      <c r="D92" t="s">
        <v>13</v>
      </c>
      <c r="E92" s="32">
        <v>44985</v>
      </c>
      <c r="F92">
        <v>111</v>
      </c>
      <c r="G92">
        <v>3</v>
      </c>
      <c r="H92">
        <v>2023</v>
      </c>
      <c r="I92" t="s">
        <v>1067</v>
      </c>
      <c r="J92" t="s">
        <v>1088</v>
      </c>
      <c r="K92">
        <v>3</v>
      </c>
      <c r="L92" t="s">
        <v>1050</v>
      </c>
      <c r="M92">
        <v>2</v>
      </c>
    </row>
    <row r="93" spans="1:13" x14ac:dyDescent="0.3">
      <c r="A93" t="s">
        <v>169</v>
      </c>
      <c r="B93" t="s">
        <v>22</v>
      </c>
      <c r="C93">
        <v>71</v>
      </c>
      <c r="D93" t="s">
        <v>6</v>
      </c>
      <c r="E93" s="32">
        <v>44985</v>
      </c>
      <c r="F93">
        <v>104</v>
      </c>
      <c r="G93">
        <v>3.1</v>
      </c>
      <c r="H93">
        <v>2023</v>
      </c>
      <c r="I93" t="s">
        <v>1067</v>
      </c>
      <c r="J93" t="s">
        <v>1087</v>
      </c>
      <c r="K93">
        <v>3</v>
      </c>
      <c r="L93" t="s">
        <v>1050</v>
      </c>
      <c r="M93">
        <v>2</v>
      </c>
    </row>
    <row r="94" spans="1:13" x14ac:dyDescent="0.3">
      <c r="A94" t="s">
        <v>171</v>
      </c>
      <c r="B94" t="s">
        <v>8</v>
      </c>
      <c r="C94">
        <v>155</v>
      </c>
      <c r="D94" t="s">
        <v>6</v>
      </c>
      <c r="E94" s="32">
        <v>44986</v>
      </c>
      <c r="F94">
        <v>132</v>
      </c>
      <c r="G94">
        <v>4.5999999999999996</v>
      </c>
      <c r="H94">
        <v>2023</v>
      </c>
      <c r="I94" t="s">
        <v>1068</v>
      </c>
      <c r="J94" t="s">
        <v>1089</v>
      </c>
      <c r="K94">
        <v>5</v>
      </c>
      <c r="L94" t="s">
        <v>1051</v>
      </c>
      <c r="M94">
        <v>3</v>
      </c>
    </row>
    <row r="95" spans="1:13" x14ac:dyDescent="0.3">
      <c r="A95" t="s">
        <v>172</v>
      </c>
      <c r="B95" t="s">
        <v>8</v>
      </c>
      <c r="C95">
        <v>90</v>
      </c>
      <c r="D95" t="s">
        <v>13</v>
      </c>
      <c r="E95" s="32">
        <v>44986</v>
      </c>
      <c r="F95">
        <v>170</v>
      </c>
      <c r="G95">
        <v>3.7</v>
      </c>
      <c r="H95">
        <v>2023</v>
      </c>
      <c r="I95" t="s">
        <v>1068</v>
      </c>
      <c r="J95" t="s">
        <v>1087</v>
      </c>
      <c r="K95">
        <v>4</v>
      </c>
      <c r="L95" t="s">
        <v>1051</v>
      </c>
      <c r="M95">
        <v>3</v>
      </c>
    </row>
    <row r="96" spans="1:13" x14ac:dyDescent="0.3">
      <c r="A96" t="s">
        <v>175</v>
      </c>
      <c r="B96" t="s">
        <v>19</v>
      </c>
      <c r="C96">
        <v>152</v>
      </c>
      <c r="D96" t="s">
        <v>11</v>
      </c>
      <c r="E96" s="32">
        <v>44986</v>
      </c>
      <c r="F96">
        <v>215</v>
      </c>
      <c r="G96">
        <v>4.4000000000000004</v>
      </c>
      <c r="H96">
        <v>2023</v>
      </c>
      <c r="I96" t="s">
        <v>1068</v>
      </c>
      <c r="J96" t="s">
        <v>1089</v>
      </c>
      <c r="K96">
        <v>4</v>
      </c>
      <c r="L96" t="s">
        <v>1051</v>
      </c>
      <c r="M96">
        <v>3</v>
      </c>
    </row>
    <row r="97" spans="1:13" x14ac:dyDescent="0.3">
      <c r="A97" t="s">
        <v>178</v>
      </c>
      <c r="B97" t="s">
        <v>18</v>
      </c>
      <c r="C97">
        <v>114</v>
      </c>
      <c r="D97" t="s">
        <v>13</v>
      </c>
      <c r="E97" s="32">
        <v>44987</v>
      </c>
      <c r="F97">
        <v>23</v>
      </c>
      <c r="G97">
        <v>4.8</v>
      </c>
      <c r="H97">
        <v>2023</v>
      </c>
      <c r="I97" t="s">
        <v>1066</v>
      </c>
      <c r="J97" t="s">
        <v>1087</v>
      </c>
      <c r="K97">
        <v>5</v>
      </c>
      <c r="L97" t="s">
        <v>1051</v>
      </c>
      <c r="M97">
        <v>3</v>
      </c>
    </row>
    <row r="98" spans="1:13" x14ac:dyDescent="0.3">
      <c r="A98" t="s">
        <v>179</v>
      </c>
      <c r="B98" t="s">
        <v>21</v>
      </c>
      <c r="C98">
        <v>103</v>
      </c>
      <c r="D98" t="s">
        <v>6</v>
      </c>
      <c r="E98" s="32">
        <v>44987</v>
      </c>
      <c r="F98">
        <v>75</v>
      </c>
      <c r="G98">
        <v>2.7</v>
      </c>
      <c r="H98">
        <v>2023</v>
      </c>
      <c r="I98" t="s">
        <v>1066</v>
      </c>
      <c r="J98" t="s">
        <v>1087</v>
      </c>
      <c r="K98">
        <v>3</v>
      </c>
      <c r="L98" t="s">
        <v>1051</v>
      </c>
      <c r="M98">
        <v>3</v>
      </c>
    </row>
    <row r="99" spans="1:13" x14ac:dyDescent="0.3">
      <c r="A99" t="s">
        <v>183</v>
      </c>
      <c r="B99" t="s">
        <v>21</v>
      </c>
      <c r="C99">
        <v>70</v>
      </c>
      <c r="D99" t="s">
        <v>9</v>
      </c>
      <c r="E99" s="32">
        <v>44987</v>
      </c>
      <c r="F99">
        <v>28</v>
      </c>
      <c r="G99">
        <v>4.8</v>
      </c>
      <c r="H99">
        <v>2023</v>
      </c>
      <c r="I99" t="s">
        <v>1066</v>
      </c>
      <c r="J99" t="s">
        <v>1087</v>
      </c>
      <c r="K99">
        <v>5</v>
      </c>
      <c r="L99" t="s">
        <v>1051</v>
      </c>
      <c r="M99">
        <v>3</v>
      </c>
    </row>
    <row r="100" spans="1:13" x14ac:dyDescent="0.3">
      <c r="A100" t="s">
        <v>184</v>
      </c>
      <c r="B100" t="s">
        <v>22</v>
      </c>
      <c r="C100">
        <v>86</v>
      </c>
      <c r="D100" t="s">
        <v>10</v>
      </c>
      <c r="E100" s="32">
        <v>44988</v>
      </c>
      <c r="F100">
        <v>70</v>
      </c>
      <c r="G100">
        <v>4.9000000000000004</v>
      </c>
      <c r="H100">
        <v>2023</v>
      </c>
      <c r="I100" t="s">
        <v>1062</v>
      </c>
      <c r="J100" t="s">
        <v>1087</v>
      </c>
      <c r="K100">
        <v>5</v>
      </c>
      <c r="L100" t="s">
        <v>1051</v>
      </c>
      <c r="M100">
        <v>3</v>
      </c>
    </row>
    <row r="101" spans="1:13" x14ac:dyDescent="0.3">
      <c r="A101" t="s">
        <v>188</v>
      </c>
      <c r="B101" t="s">
        <v>16</v>
      </c>
      <c r="C101">
        <v>107</v>
      </c>
      <c r="D101" t="s">
        <v>10</v>
      </c>
      <c r="E101" s="32">
        <v>44988</v>
      </c>
      <c r="F101">
        <v>66</v>
      </c>
      <c r="G101">
        <v>4</v>
      </c>
      <c r="H101">
        <v>2023</v>
      </c>
      <c r="I101" t="s">
        <v>1062</v>
      </c>
      <c r="J101" t="s">
        <v>1087</v>
      </c>
      <c r="K101">
        <v>4</v>
      </c>
      <c r="L101" t="s">
        <v>1051</v>
      </c>
      <c r="M101">
        <v>3</v>
      </c>
    </row>
    <row r="102" spans="1:13" x14ac:dyDescent="0.3">
      <c r="A102" t="s">
        <v>189</v>
      </c>
      <c r="B102" t="s">
        <v>16</v>
      </c>
      <c r="C102">
        <v>131</v>
      </c>
      <c r="D102" t="s">
        <v>9</v>
      </c>
      <c r="E102" s="32">
        <v>44988</v>
      </c>
      <c r="F102">
        <v>39</v>
      </c>
      <c r="G102">
        <v>2.4</v>
      </c>
      <c r="H102">
        <v>2023</v>
      </c>
      <c r="I102" t="s">
        <v>1062</v>
      </c>
      <c r="J102" t="s">
        <v>1089</v>
      </c>
      <c r="K102">
        <v>2</v>
      </c>
      <c r="L102" t="s">
        <v>1051</v>
      </c>
      <c r="M102">
        <v>3</v>
      </c>
    </row>
    <row r="103" spans="1:13" x14ac:dyDescent="0.3">
      <c r="A103" t="s">
        <v>193</v>
      </c>
      <c r="B103" t="s">
        <v>8</v>
      </c>
      <c r="C103">
        <v>139</v>
      </c>
      <c r="D103" t="s">
        <v>9</v>
      </c>
      <c r="E103" s="32">
        <v>44989</v>
      </c>
      <c r="F103">
        <v>88</v>
      </c>
      <c r="G103">
        <v>3.4</v>
      </c>
      <c r="H103">
        <v>2023</v>
      </c>
      <c r="I103" t="s">
        <v>1064</v>
      </c>
      <c r="J103" t="s">
        <v>1089</v>
      </c>
      <c r="K103">
        <v>3</v>
      </c>
      <c r="L103" t="s">
        <v>1051</v>
      </c>
      <c r="M103">
        <v>3</v>
      </c>
    </row>
    <row r="104" spans="1:13" x14ac:dyDescent="0.3">
      <c r="A104" t="s">
        <v>197</v>
      </c>
      <c r="B104" t="s">
        <v>18</v>
      </c>
      <c r="C104">
        <v>40</v>
      </c>
      <c r="D104" t="s">
        <v>6</v>
      </c>
      <c r="E104" s="32">
        <v>44990</v>
      </c>
      <c r="F104">
        <v>92</v>
      </c>
      <c r="G104">
        <v>4.7</v>
      </c>
      <c r="H104">
        <v>2023</v>
      </c>
      <c r="I104" t="s">
        <v>1065</v>
      </c>
      <c r="J104" t="s">
        <v>1088</v>
      </c>
      <c r="K104">
        <v>5</v>
      </c>
      <c r="L104" t="s">
        <v>1051</v>
      </c>
      <c r="M104">
        <v>3</v>
      </c>
    </row>
    <row r="105" spans="1:13" x14ac:dyDescent="0.3">
      <c r="A105" t="s">
        <v>199</v>
      </c>
      <c r="B105" t="s">
        <v>15</v>
      </c>
      <c r="C105">
        <v>131</v>
      </c>
      <c r="D105" t="s">
        <v>10</v>
      </c>
      <c r="E105" s="32">
        <v>44990</v>
      </c>
      <c r="F105">
        <v>140</v>
      </c>
      <c r="G105">
        <v>4.0999999999999996</v>
      </c>
      <c r="H105">
        <v>2023</v>
      </c>
      <c r="I105" t="s">
        <v>1065</v>
      </c>
      <c r="J105" t="s">
        <v>1089</v>
      </c>
      <c r="K105">
        <v>4</v>
      </c>
      <c r="L105" t="s">
        <v>1051</v>
      </c>
      <c r="M105">
        <v>3</v>
      </c>
    </row>
    <row r="106" spans="1:13" x14ac:dyDescent="0.3">
      <c r="A106" t="s">
        <v>200</v>
      </c>
      <c r="B106" t="s">
        <v>16</v>
      </c>
      <c r="C106">
        <v>67</v>
      </c>
      <c r="D106" t="s">
        <v>11</v>
      </c>
      <c r="E106" s="32">
        <v>44990</v>
      </c>
      <c r="F106">
        <v>40</v>
      </c>
      <c r="G106">
        <v>5</v>
      </c>
      <c r="H106">
        <v>2023</v>
      </c>
      <c r="I106" t="s">
        <v>1065</v>
      </c>
      <c r="J106" t="s">
        <v>1087</v>
      </c>
      <c r="K106">
        <v>5</v>
      </c>
      <c r="L106" t="s">
        <v>1051</v>
      </c>
      <c r="M106">
        <v>3</v>
      </c>
    </row>
    <row r="107" spans="1:13" x14ac:dyDescent="0.3">
      <c r="A107" t="s">
        <v>201</v>
      </c>
      <c r="B107" t="s">
        <v>5</v>
      </c>
      <c r="C107">
        <v>71</v>
      </c>
      <c r="D107" t="s">
        <v>6</v>
      </c>
      <c r="E107" s="32">
        <v>44990</v>
      </c>
      <c r="F107">
        <v>102</v>
      </c>
      <c r="G107">
        <v>4.7</v>
      </c>
      <c r="H107">
        <v>2023</v>
      </c>
      <c r="I107" t="s">
        <v>1065</v>
      </c>
      <c r="J107" t="s">
        <v>1087</v>
      </c>
      <c r="K107">
        <v>5</v>
      </c>
      <c r="L107" t="s">
        <v>1051</v>
      </c>
      <c r="M107">
        <v>3</v>
      </c>
    </row>
    <row r="108" spans="1:13" x14ac:dyDescent="0.3">
      <c r="A108" t="s">
        <v>202</v>
      </c>
      <c r="B108" t="s">
        <v>15</v>
      </c>
      <c r="C108">
        <v>113</v>
      </c>
      <c r="D108" t="s">
        <v>10</v>
      </c>
      <c r="E108" s="32">
        <v>44990</v>
      </c>
      <c r="F108">
        <v>42</v>
      </c>
      <c r="G108">
        <v>4.2</v>
      </c>
      <c r="H108">
        <v>2023</v>
      </c>
      <c r="I108" t="s">
        <v>1065</v>
      </c>
      <c r="J108" t="s">
        <v>1087</v>
      </c>
      <c r="K108">
        <v>4</v>
      </c>
      <c r="L108" t="s">
        <v>1051</v>
      </c>
      <c r="M108">
        <v>3</v>
      </c>
    </row>
    <row r="109" spans="1:13" x14ac:dyDescent="0.3">
      <c r="A109" t="s">
        <v>204</v>
      </c>
      <c r="B109" t="s">
        <v>15</v>
      </c>
      <c r="C109">
        <v>153</v>
      </c>
      <c r="D109" t="s">
        <v>11</v>
      </c>
      <c r="E109" s="32">
        <v>44991</v>
      </c>
      <c r="F109">
        <v>34</v>
      </c>
      <c r="G109">
        <v>3</v>
      </c>
      <c r="H109">
        <v>2023</v>
      </c>
      <c r="I109" t="s">
        <v>1063</v>
      </c>
      <c r="J109" t="s">
        <v>1089</v>
      </c>
      <c r="K109">
        <v>3</v>
      </c>
      <c r="L109" t="s">
        <v>1051</v>
      </c>
      <c r="M109">
        <v>3</v>
      </c>
    </row>
    <row r="110" spans="1:13" x14ac:dyDescent="0.3">
      <c r="A110" t="s">
        <v>205</v>
      </c>
      <c r="B110" t="s">
        <v>16</v>
      </c>
      <c r="C110">
        <v>73</v>
      </c>
      <c r="D110" t="s">
        <v>13</v>
      </c>
      <c r="E110" s="32">
        <v>44991</v>
      </c>
      <c r="F110">
        <v>215</v>
      </c>
      <c r="G110">
        <v>3.6</v>
      </c>
      <c r="H110">
        <v>2023</v>
      </c>
      <c r="I110" t="s">
        <v>1063</v>
      </c>
      <c r="J110" t="s">
        <v>1087</v>
      </c>
      <c r="K110">
        <v>4</v>
      </c>
      <c r="L110" t="s">
        <v>1051</v>
      </c>
      <c r="M110">
        <v>3</v>
      </c>
    </row>
    <row r="111" spans="1:13" x14ac:dyDescent="0.3">
      <c r="A111" t="s">
        <v>206</v>
      </c>
      <c r="B111" t="s">
        <v>22</v>
      </c>
      <c r="C111">
        <v>62</v>
      </c>
      <c r="D111" t="s">
        <v>13</v>
      </c>
      <c r="E111" s="32">
        <v>44991</v>
      </c>
      <c r="F111">
        <v>32</v>
      </c>
      <c r="G111">
        <v>0.7</v>
      </c>
      <c r="H111">
        <v>2023</v>
      </c>
      <c r="I111" t="s">
        <v>1063</v>
      </c>
      <c r="J111" t="s">
        <v>1087</v>
      </c>
      <c r="K111">
        <v>1</v>
      </c>
      <c r="L111" t="s">
        <v>1051</v>
      </c>
      <c r="M111">
        <v>3</v>
      </c>
    </row>
    <row r="112" spans="1:13" x14ac:dyDescent="0.3">
      <c r="A112" t="s">
        <v>207</v>
      </c>
      <c r="B112" t="s">
        <v>8</v>
      </c>
      <c r="C112">
        <v>115</v>
      </c>
      <c r="D112" t="s">
        <v>9</v>
      </c>
      <c r="E112" s="32">
        <v>44992</v>
      </c>
      <c r="F112">
        <v>48</v>
      </c>
      <c r="G112">
        <v>4.7</v>
      </c>
      <c r="H112">
        <v>2023</v>
      </c>
      <c r="I112" t="s">
        <v>1067</v>
      </c>
      <c r="J112" t="s">
        <v>1087</v>
      </c>
      <c r="K112">
        <v>5</v>
      </c>
      <c r="L112" t="s">
        <v>1051</v>
      </c>
      <c r="M112">
        <v>3</v>
      </c>
    </row>
    <row r="113" spans="1:13" x14ac:dyDescent="0.3">
      <c r="A113" t="s">
        <v>208</v>
      </c>
      <c r="B113" t="s">
        <v>15</v>
      </c>
      <c r="C113">
        <v>69</v>
      </c>
      <c r="D113" t="s">
        <v>9</v>
      </c>
      <c r="E113" s="32">
        <v>44992</v>
      </c>
      <c r="F113">
        <v>132</v>
      </c>
      <c r="G113">
        <v>4.5</v>
      </c>
      <c r="H113">
        <v>2023</v>
      </c>
      <c r="I113" t="s">
        <v>1067</v>
      </c>
      <c r="J113" t="s">
        <v>1087</v>
      </c>
      <c r="K113">
        <v>5</v>
      </c>
      <c r="L113" t="s">
        <v>1051</v>
      </c>
      <c r="M113">
        <v>3</v>
      </c>
    </row>
    <row r="114" spans="1:13" x14ac:dyDescent="0.3">
      <c r="A114" t="s">
        <v>211</v>
      </c>
      <c r="B114" t="s">
        <v>14</v>
      </c>
      <c r="C114">
        <v>92</v>
      </c>
      <c r="D114" t="s">
        <v>10</v>
      </c>
      <c r="E114" s="32">
        <v>44992</v>
      </c>
      <c r="F114">
        <v>58</v>
      </c>
      <c r="G114">
        <v>3.6</v>
      </c>
      <c r="H114">
        <v>2023</v>
      </c>
      <c r="I114" t="s">
        <v>1067</v>
      </c>
      <c r="J114" t="s">
        <v>1087</v>
      </c>
      <c r="K114">
        <v>4</v>
      </c>
      <c r="L114" t="s">
        <v>1051</v>
      </c>
      <c r="M114">
        <v>3</v>
      </c>
    </row>
    <row r="115" spans="1:13" x14ac:dyDescent="0.3">
      <c r="A115" t="s">
        <v>212</v>
      </c>
      <c r="B115" t="s">
        <v>14</v>
      </c>
      <c r="C115">
        <v>41</v>
      </c>
      <c r="D115" t="s">
        <v>13</v>
      </c>
      <c r="E115" s="32">
        <v>44992</v>
      </c>
      <c r="F115">
        <v>68</v>
      </c>
      <c r="G115">
        <v>4</v>
      </c>
      <c r="H115">
        <v>2023</v>
      </c>
      <c r="I115" t="s">
        <v>1067</v>
      </c>
      <c r="J115" t="s">
        <v>1088</v>
      </c>
      <c r="K115">
        <v>4</v>
      </c>
      <c r="L115" t="s">
        <v>1051</v>
      </c>
      <c r="M115">
        <v>3</v>
      </c>
    </row>
    <row r="116" spans="1:13" x14ac:dyDescent="0.3">
      <c r="A116" t="s">
        <v>215</v>
      </c>
      <c r="B116" t="s">
        <v>5</v>
      </c>
      <c r="C116">
        <v>103</v>
      </c>
      <c r="D116" t="s">
        <v>9</v>
      </c>
      <c r="E116" s="32">
        <v>44993</v>
      </c>
      <c r="F116">
        <v>117</v>
      </c>
      <c r="G116">
        <v>3</v>
      </c>
      <c r="H116">
        <v>2023</v>
      </c>
      <c r="I116" t="s">
        <v>1068</v>
      </c>
      <c r="J116" t="s">
        <v>1087</v>
      </c>
      <c r="K116">
        <v>3</v>
      </c>
      <c r="L116" t="s">
        <v>1051</v>
      </c>
      <c r="M116">
        <v>3</v>
      </c>
    </row>
    <row r="117" spans="1:13" x14ac:dyDescent="0.3">
      <c r="A117" t="s">
        <v>217</v>
      </c>
      <c r="B117" t="s">
        <v>5</v>
      </c>
      <c r="C117">
        <v>75</v>
      </c>
      <c r="D117" t="s">
        <v>6</v>
      </c>
      <c r="E117" s="32">
        <v>44994</v>
      </c>
      <c r="F117">
        <v>195</v>
      </c>
      <c r="G117">
        <v>3</v>
      </c>
      <c r="H117">
        <v>2023</v>
      </c>
      <c r="I117" t="s">
        <v>1066</v>
      </c>
      <c r="J117" t="s">
        <v>1087</v>
      </c>
      <c r="K117">
        <v>3</v>
      </c>
      <c r="L117" t="s">
        <v>1051</v>
      </c>
      <c r="M117">
        <v>3</v>
      </c>
    </row>
    <row r="118" spans="1:13" x14ac:dyDescent="0.3">
      <c r="A118" t="s">
        <v>218</v>
      </c>
      <c r="B118" t="s">
        <v>14</v>
      </c>
      <c r="C118">
        <v>80</v>
      </c>
      <c r="D118" t="s">
        <v>11</v>
      </c>
      <c r="E118" s="32">
        <v>44994</v>
      </c>
      <c r="F118">
        <v>168</v>
      </c>
      <c r="G118">
        <v>3.7</v>
      </c>
      <c r="H118">
        <v>2023</v>
      </c>
      <c r="I118" t="s">
        <v>1066</v>
      </c>
      <c r="J118" t="s">
        <v>1087</v>
      </c>
      <c r="K118">
        <v>4</v>
      </c>
      <c r="L118" t="s">
        <v>1051</v>
      </c>
      <c r="M118">
        <v>3</v>
      </c>
    </row>
    <row r="119" spans="1:13" x14ac:dyDescent="0.3">
      <c r="A119" t="s">
        <v>219</v>
      </c>
      <c r="B119" t="s">
        <v>15</v>
      </c>
      <c r="C119">
        <v>85</v>
      </c>
      <c r="D119" t="s">
        <v>13</v>
      </c>
      <c r="E119" s="32">
        <v>44995</v>
      </c>
      <c r="F119">
        <v>46</v>
      </c>
      <c r="G119">
        <v>4.9000000000000004</v>
      </c>
      <c r="H119">
        <v>2023</v>
      </c>
      <c r="I119" t="s">
        <v>1062</v>
      </c>
      <c r="J119" t="s">
        <v>1087</v>
      </c>
      <c r="K119">
        <v>5</v>
      </c>
      <c r="L119" t="s">
        <v>1051</v>
      </c>
      <c r="M119">
        <v>3</v>
      </c>
    </row>
    <row r="120" spans="1:13" x14ac:dyDescent="0.3">
      <c r="A120" t="s">
        <v>221</v>
      </c>
      <c r="B120" t="s">
        <v>15</v>
      </c>
      <c r="C120">
        <v>63</v>
      </c>
      <c r="D120" t="s">
        <v>13</v>
      </c>
      <c r="E120" s="32">
        <v>44995</v>
      </c>
      <c r="F120">
        <v>48</v>
      </c>
      <c r="G120">
        <v>5</v>
      </c>
      <c r="H120">
        <v>2023</v>
      </c>
      <c r="I120" t="s">
        <v>1062</v>
      </c>
      <c r="J120" t="s">
        <v>1087</v>
      </c>
      <c r="K120">
        <v>5</v>
      </c>
      <c r="L120" t="s">
        <v>1051</v>
      </c>
      <c r="M120">
        <v>3</v>
      </c>
    </row>
    <row r="121" spans="1:13" x14ac:dyDescent="0.3">
      <c r="A121" t="s">
        <v>223</v>
      </c>
      <c r="B121" t="s">
        <v>15</v>
      </c>
      <c r="C121">
        <v>71</v>
      </c>
      <c r="D121" t="s">
        <v>13</v>
      </c>
      <c r="E121" s="32">
        <v>44995</v>
      </c>
      <c r="F121">
        <v>105</v>
      </c>
      <c r="G121">
        <v>4</v>
      </c>
      <c r="H121">
        <v>2023</v>
      </c>
      <c r="I121" t="s">
        <v>1062</v>
      </c>
      <c r="J121" t="s">
        <v>1087</v>
      </c>
      <c r="K121">
        <v>4</v>
      </c>
      <c r="L121" t="s">
        <v>1051</v>
      </c>
      <c r="M121">
        <v>3</v>
      </c>
    </row>
    <row r="122" spans="1:13" x14ac:dyDescent="0.3">
      <c r="A122" t="s">
        <v>229</v>
      </c>
      <c r="B122" t="s">
        <v>22</v>
      </c>
      <c r="C122">
        <v>83</v>
      </c>
      <c r="D122" t="s">
        <v>13</v>
      </c>
      <c r="E122" s="32">
        <v>44996</v>
      </c>
      <c r="F122">
        <v>42</v>
      </c>
      <c r="G122">
        <v>4.2</v>
      </c>
      <c r="H122">
        <v>2023</v>
      </c>
      <c r="I122" t="s">
        <v>1064</v>
      </c>
      <c r="J122" t="s">
        <v>1087</v>
      </c>
      <c r="K122">
        <v>4</v>
      </c>
      <c r="L122" t="s">
        <v>1051</v>
      </c>
      <c r="M122">
        <v>3</v>
      </c>
    </row>
    <row r="123" spans="1:13" x14ac:dyDescent="0.3">
      <c r="A123" t="s">
        <v>230</v>
      </c>
      <c r="B123" t="s">
        <v>14</v>
      </c>
      <c r="C123">
        <v>134</v>
      </c>
      <c r="D123" t="s">
        <v>10</v>
      </c>
      <c r="E123" s="32">
        <v>44996</v>
      </c>
      <c r="F123">
        <v>180</v>
      </c>
      <c r="G123">
        <v>3.1</v>
      </c>
      <c r="H123">
        <v>2023</v>
      </c>
      <c r="I123" t="s">
        <v>1064</v>
      </c>
      <c r="J123" t="s">
        <v>1089</v>
      </c>
      <c r="K123">
        <v>3</v>
      </c>
      <c r="L123" t="s">
        <v>1051</v>
      </c>
      <c r="M123">
        <v>3</v>
      </c>
    </row>
    <row r="124" spans="1:13" x14ac:dyDescent="0.3">
      <c r="A124" t="s">
        <v>231</v>
      </c>
      <c r="B124" t="s">
        <v>8</v>
      </c>
      <c r="C124">
        <v>73</v>
      </c>
      <c r="D124" t="s">
        <v>13</v>
      </c>
      <c r="E124" s="32">
        <v>44997</v>
      </c>
      <c r="F124">
        <v>34</v>
      </c>
      <c r="G124">
        <v>4.8</v>
      </c>
      <c r="H124">
        <v>2023</v>
      </c>
      <c r="I124" t="s">
        <v>1065</v>
      </c>
      <c r="J124" t="s">
        <v>1087</v>
      </c>
      <c r="K124">
        <v>5</v>
      </c>
      <c r="L124" t="s">
        <v>1051</v>
      </c>
      <c r="M124">
        <v>3</v>
      </c>
    </row>
    <row r="125" spans="1:13" x14ac:dyDescent="0.3">
      <c r="A125" t="s">
        <v>232</v>
      </c>
      <c r="B125" t="s">
        <v>5</v>
      </c>
      <c r="C125">
        <v>6</v>
      </c>
      <c r="D125" t="s">
        <v>6</v>
      </c>
      <c r="E125" s="32">
        <v>44997</v>
      </c>
      <c r="F125">
        <v>29</v>
      </c>
      <c r="G125">
        <v>4.7</v>
      </c>
      <c r="H125">
        <v>2023</v>
      </c>
      <c r="I125" t="s">
        <v>1065</v>
      </c>
      <c r="J125" t="s">
        <v>1090</v>
      </c>
      <c r="K125">
        <v>5</v>
      </c>
      <c r="L125" t="s">
        <v>1051</v>
      </c>
      <c r="M125">
        <v>3</v>
      </c>
    </row>
    <row r="126" spans="1:13" x14ac:dyDescent="0.3">
      <c r="A126" t="s">
        <v>233</v>
      </c>
      <c r="B126" t="s">
        <v>16</v>
      </c>
      <c r="C126">
        <v>46</v>
      </c>
      <c r="D126" t="s">
        <v>9</v>
      </c>
      <c r="E126" s="32">
        <v>44997</v>
      </c>
      <c r="F126">
        <v>165</v>
      </c>
      <c r="G126">
        <v>3.3</v>
      </c>
      <c r="H126">
        <v>2023</v>
      </c>
      <c r="I126" t="s">
        <v>1065</v>
      </c>
      <c r="J126" t="s">
        <v>1088</v>
      </c>
      <c r="K126">
        <v>3</v>
      </c>
      <c r="L126" t="s">
        <v>1051</v>
      </c>
      <c r="M126">
        <v>3</v>
      </c>
    </row>
    <row r="127" spans="1:13" x14ac:dyDescent="0.3">
      <c r="A127" t="s">
        <v>234</v>
      </c>
      <c r="B127" t="s">
        <v>5</v>
      </c>
      <c r="C127">
        <v>121</v>
      </c>
      <c r="D127" t="s">
        <v>13</v>
      </c>
      <c r="E127" s="32">
        <v>44998</v>
      </c>
      <c r="F127">
        <v>32</v>
      </c>
      <c r="G127">
        <v>3.7</v>
      </c>
      <c r="H127">
        <v>2023</v>
      </c>
      <c r="I127" t="s">
        <v>1063</v>
      </c>
      <c r="J127" t="s">
        <v>1089</v>
      </c>
      <c r="K127">
        <v>4</v>
      </c>
      <c r="L127" t="s">
        <v>1051</v>
      </c>
      <c r="M127">
        <v>3</v>
      </c>
    </row>
    <row r="128" spans="1:13" x14ac:dyDescent="0.3">
      <c r="A128" t="s">
        <v>236</v>
      </c>
      <c r="B128" t="s">
        <v>14</v>
      </c>
      <c r="C128">
        <v>144</v>
      </c>
      <c r="D128" t="s">
        <v>10</v>
      </c>
      <c r="E128" s="32">
        <v>44998</v>
      </c>
      <c r="F128">
        <v>140</v>
      </c>
      <c r="G128">
        <v>3.5</v>
      </c>
      <c r="H128">
        <v>2023</v>
      </c>
      <c r="I128" t="s">
        <v>1063</v>
      </c>
      <c r="J128" t="s">
        <v>1089</v>
      </c>
      <c r="K128">
        <v>4</v>
      </c>
      <c r="L128" t="s">
        <v>1051</v>
      </c>
      <c r="M128">
        <v>3</v>
      </c>
    </row>
    <row r="129" spans="1:13" x14ac:dyDescent="0.3">
      <c r="A129" t="s">
        <v>237</v>
      </c>
      <c r="B129" t="s">
        <v>16</v>
      </c>
      <c r="C129">
        <v>145</v>
      </c>
      <c r="D129" t="s">
        <v>10</v>
      </c>
      <c r="E129" s="32">
        <v>44998</v>
      </c>
      <c r="F129">
        <v>136</v>
      </c>
      <c r="G129">
        <v>4.4000000000000004</v>
      </c>
      <c r="H129">
        <v>2023</v>
      </c>
      <c r="I129" t="s">
        <v>1063</v>
      </c>
      <c r="J129" t="s">
        <v>1089</v>
      </c>
      <c r="K129">
        <v>4</v>
      </c>
      <c r="L129" t="s">
        <v>1051</v>
      </c>
      <c r="M129">
        <v>3</v>
      </c>
    </row>
    <row r="130" spans="1:13" x14ac:dyDescent="0.3">
      <c r="A130" t="s">
        <v>239</v>
      </c>
      <c r="B130" t="s">
        <v>16</v>
      </c>
      <c r="C130">
        <v>13</v>
      </c>
      <c r="D130" t="s">
        <v>11</v>
      </c>
      <c r="E130" s="32">
        <v>44999</v>
      </c>
      <c r="F130">
        <v>63</v>
      </c>
      <c r="G130">
        <v>4.0999999999999996</v>
      </c>
      <c r="H130">
        <v>2023</v>
      </c>
      <c r="I130" t="s">
        <v>1067</v>
      </c>
      <c r="J130" t="s">
        <v>1091</v>
      </c>
      <c r="K130">
        <v>4</v>
      </c>
      <c r="L130" t="s">
        <v>1051</v>
      </c>
      <c r="M130">
        <v>3</v>
      </c>
    </row>
    <row r="131" spans="1:13" x14ac:dyDescent="0.3">
      <c r="A131" t="s">
        <v>241</v>
      </c>
      <c r="B131" t="s">
        <v>14</v>
      </c>
      <c r="C131">
        <v>28</v>
      </c>
      <c r="D131" t="s">
        <v>9</v>
      </c>
      <c r="E131" s="32">
        <v>44999</v>
      </c>
      <c r="F131">
        <v>78</v>
      </c>
      <c r="G131">
        <v>3.8</v>
      </c>
      <c r="H131">
        <v>2023</v>
      </c>
      <c r="I131" t="s">
        <v>1067</v>
      </c>
      <c r="J131" t="s">
        <v>1091</v>
      </c>
      <c r="K131">
        <v>4</v>
      </c>
      <c r="L131" t="s">
        <v>1051</v>
      </c>
      <c r="M131">
        <v>3</v>
      </c>
    </row>
    <row r="132" spans="1:13" x14ac:dyDescent="0.3">
      <c r="A132" t="s">
        <v>242</v>
      </c>
      <c r="B132" t="s">
        <v>14</v>
      </c>
      <c r="C132">
        <v>119</v>
      </c>
      <c r="D132" t="s">
        <v>13</v>
      </c>
      <c r="E132" s="32">
        <v>44999</v>
      </c>
      <c r="F132">
        <v>20</v>
      </c>
      <c r="G132">
        <v>3.9</v>
      </c>
      <c r="H132">
        <v>2023</v>
      </c>
      <c r="I132" t="s">
        <v>1067</v>
      </c>
      <c r="J132" t="s">
        <v>1087</v>
      </c>
      <c r="K132">
        <v>4</v>
      </c>
      <c r="L132" t="s">
        <v>1051</v>
      </c>
      <c r="M132">
        <v>3</v>
      </c>
    </row>
    <row r="133" spans="1:13" x14ac:dyDescent="0.3">
      <c r="A133" t="s">
        <v>243</v>
      </c>
      <c r="B133" t="s">
        <v>5</v>
      </c>
      <c r="C133">
        <v>65</v>
      </c>
      <c r="D133" t="s">
        <v>6</v>
      </c>
      <c r="E133" s="32">
        <v>44999</v>
      </c>
      <c r="F133">
        <v>84</v>
      </c>
      <c r="G133">
        <v>2.5</v>
      </c>
      <c r="H133">
        <v>2023</v>
      </c>
      <c r="I133" t="s">
        <v>1067</v>
      </c>
      <c r="J133" t="s">
        <v>1087</v>
      </c>
      <c r="K133">
        <v>3</v>
      </c>
      <c r="L133" t="s">
        <v>1051</v>
      </c>
      <c r="M133">
        <v>3</v>
      </c>
    </row>
    <row r="134" spans="1:13" x14ac:dyDescent="0.3">
      <c r="A134" t="s">
        <v>245</v>
      </c>
      <c r="B134" t="s">
        <v>22</v>
      </c>
      <c r="C134">
        <v>72</v>
      </c>
      <c r="D134" t="s">
        <v>9</v>
      </c>
      <c r="E134" s="32">
        <v>44999</v>
      </c>
      <c r="F134">
        <v>132</v>
      </c>
      <c r="G134">
        <v>3.4</v>
      </c>
      <c r="H134">
        <v>2023</v>
      </c>
      <c r="I134" t="s">
        <v>1067</v>
      </c>
      <c r="J134" t="s">
        <v>1087</v>
      </c>
      <c r="K134">
        <v>3</v>
      </c>
      <c r="L134" t="s">
        <v>1051</v>
      </c>
      <c r="M134">
        <v>3</v>
      </c>
    </row>
    <row r="135" spans="1:13" x14ac:dyDescent="0.3">
      <c r="A135" t="s">
        <v>246</v>
      </c>
      <c r="B135" t="s">
        <v>22</v>
      </c>
      <c r="C135">
        <v>63</v>
      </c>
      <c r="D135" t="s">
        <v>10</v>
      </c>
      <c r="E135" s="32">
        <v>44999</v>
      </c>
      <c r="F135">
        <v>105</v>
      </c>
      <c r="G135">
        <v>3.3</v>
      </c>
      <c r="H135">
        <v>2023</v>
      </c>
      <c r="I135" t="s">
        <v>1067</v>
      </c>
      <c r="J135" t="s">
        <v>1087</v>
      </c>
      <c r="K135">
        <v>3</v>
      </c>
      <c r="L135" t="s">
        <v>1051</v>
      </c>
      <c r="M135">
        <v>3</v>
      </c>
    </row>
    <row r="136" spans="1:13" x14ac:dyDescent="0.3">
      <c r="A136" t="s">
        <v>248</v>
      </c>
      <c r="B136" t="s">
        <v>14</v>
      </c>
      <c r="C136">
        <v>59</v>
      </c>
      <c r="D136" t="s">
        <v>13</v>
      </c>
      <c r="E136" s="32">
        <v>45000</v>
      </c>
      <c r="F136">
        <v>64</v>
      </c>
      <c r="G136">
        <v>4</v>
      </c>
      <c r="H136">
        <v>2023</v>
      </c>
      <c r="I136" t="s">
        <v>1068</v>
      </c>
      <c r="J136" t="s">
        <v>1088</v>
      </c>
      <c r="K136">
        <v>4</v>
      </c>
      <c r="L136" t="s">
        <v>1051</v>
      </c>
      <c r="M136">
        <v>3</v>
      </c>
    </row>
    <row r="137" spans="1:13" x14ac:dyDescent="0.3">
      <c r="A137" t="s">
        <v>252</v>
      </c>
      <c r="B137" t="s">
        <v>22</v>
      </c>
      <c r="C137">
        <v>65</v>
      </c>
      <c r="D137" t="s">
        <v>9</v>
      </c>
      <c r="E137" s="32">
        <v>45000</v>
      </c>
      <c r="F137">
        <v>87</v>
      </c>
      <c r="G137">
        <v>2.7</v>
      </c>
      <c r="H137">
        <v>2023</v>
      </c>
      <c r="I137" t="s">
        <v>1068</v>
      </c>
      <c r="J137" t="s">
        <v>1087</v>
      </c>
      <c r="K137">
        <v>3</v>
      </c>
      <c r="L137" t="s">
        <v>1051</v>
      </c>
      <c r="M137">
        <v>3</v>
      </c>
    </row>
    <row r="138" spans="1:13" x14ac:dyDescent="0.3">
      <c r="A138" t="s">
        <v>253</v>
      </c>
      <c r="B138" t="s">
        <v>8</v>
      </c>
      <c r="C138">
        <v>123</v>
      </c>
      <c r="D138" t="s">
        <v>6</v>
      </c>
      <c r="E138" s="32">
        <v>45000</v>
      </c>
      <c r="F138">
        <v>36</v>
      </c>
      <c r="G138">
        <v>3.6</v>
      </c>
      <c r="H138">
        <v>2023</v>
      </c>
      <c r="I138" t="s">
        <v>1068</v>
      </c>
      <c r="J138" t="s">
        <v>1089</v>
      </c>
      <c r="K138">
        <v>4</v>
      </c>
      <c r="L138" t="s">
        <v>1051</v>
      </c>
      <c r="M138">
        <v>3</v>
      </c>
    </row>
    <row r="139" spans="1:13" x14ac:dyDescent="0.3">
      <c r="A139" t="s">
        <v>254</v>
      </c>
      <c r="B139" t="s">
        <v>22</v>
      </c>
      <c r="C139">
        <v>90</v>
      </c>
      <c r="D139" t="s">
        <v>13</v>
      </c>
      <c r="E139" s="32">
        <v>45001</v>
      </c>
      <c r="F139">
        <v>72</v>
      </c>
      <c r="G139">
        <v>4.7</v>
      </c>
      <c r="H139">
        <v>2023</v>
      </c>
      <c r="I139" t="s">
        <v>1066</v>
      </c>
      <c r="J139" t="s">
        <v>1087</v>
      </c>
      <c r="K139">
        <v>5</v>
      </c>
      <c r="L139" t="s">
        <v>1051</v>
      </c>
      <c r="M139">
        <v>3</v>
      </c>
    </row>
    <row r="140" spans="1:13" x14ac:dyDescent="0.3">
      <c r="A140" t="s">
        <v>256</v>
      </c>
      <c r="B140" t="s">
        <v>21</v>
      </c>
      <c r="C140">
        <v>60</v>
      </c>
      <c r="D140" t="s">
        <v>9</v>
      </c>
      <c r="E140" s="32">
        <v>45001</v>
      </c>
      <c r="F140">
        <v>68</v>
      </c>
      <c r="G140">
        <v>4.3</v>
      </c>
      <c r="H140">
        <v>2023</v>
      </c>
      <c r="I140" t="s">
        <v>1066</v>
      </c>
      <c r="J140" t="s">
        <v>1088</v>
      </c>
      <c r="K140">
        <v>4</v>
      </c>
      <c r="L140" t="s">
        <v>1051</v>
      </c>
      <c r="M140">
        <v>3</v>
      </c>
    </row>
    <row r="141" spans="1:13" x14ac:dyDescent="0.3">
      <c r="A141" t="s">
        <v>258</v>
      </c>
      <c r="B141" t="s">
        <v>8</v>
      </c>
      <c r="C141">
        <v>54</v>
      </c>
      <c r="D141" t="s">
        <v>9</v>
      </c>
      <c r="E141" s="32">
        <v>45001</v>
      </c>
      <c r="F141">
        <v>26</v>
      </c>
      <c r="G141">
        <v>4.8</v>
      </c>
      <c r="H141">
        <v>2023</v>
      </c>
      <c r="I141" t="s">
        <v>1066</v>
      </c>
      <c r="J141" t="s">
        <v>1088</v>
      </c>
      <c r="K141">
        <v>5</v>
      </c>
      <c r="L141" t="s">
        <v>1051</v>
      </c>
      <c r="M141">
        <v>3</v>
      </c>
    </row>
    <row r="142" spans="1:13" x14ac:dyDescent="0.3">
      <c r="A142" t="s">
        <v>259</v>
      </c>
      <c r="B142" t="s">
        <v>22</v>
      </c>
      <c r="C142">
        <v>104</v>
      </c>
      <c r="D142" t="s">
        <v>9</v>
      </c>
      <c r="E142" s="32">
        <v>45001</v>
      </c>
      <c r="F142">
        <v>88</v>
      </c>
      <c r="G142">
        <v>3.2</v>
      </c>
      <c r="H142">
        <v>2023</v>
      </c>
      <c r="I142" t="s">
        <v>1066</v>
      </c>
      <c r="J142" t="s">
        <v>1087</v>
      </c>
      <c r="K142">
        <v>3</v>
      </c>
      <c r="L142" t="s">
        <v>1051</v>
      </c>
      <c r="M142">
        <v>3</v>
      </c>
    </row>
    <row r="143" spans="1:13" x14ac:dyDescent="0.3">
      <c r="A143" t="s">
        <v>260</v>
      </c>
      <c r="B143" t="s">
        <v>15</v>
      </c>
      <c r="C143">
        <v>100</v>
      </c>
      <c r="D143" t="s">
        <v>9</v>
      </c>
      <c r="E143" s="32">
        <v>45001</v>
      </c>
      <c r="F143">
        <v>124</v>
      </c>
      <c r="G143">
        <v>3.4</v>
      </c>
      <c r="H143">
        <v>2023</v>
      </c>
      <c r="I143" t="s">
        <v>1066</v>
      </c>
      <c r="J143" t="s">
        <v>1087</v>
      </c>
      <c r="K143">
        <v>3</v>
      </c>
      <c r="L143" t="s">
        <v>1051</v>
      </c>
      <c r="M143">
        <v>3</v>
      </c>
    </row>
    <row r="144" spans="1:13" x14ac:dyDescent="0.3">
      <c r="A144" t="s">
        <v>263</v>
      </c>
      <c r="B144" t="s">
        <v>18</v>
      </c>
      <c r="C144">
        <v>64</v>
      </c>
      <c r="D144" t="s">
        <v>10</v>
      </c>
      <c r="E144" s="32">
        <v>45002</v>
      </c>
      <c r="F144">
        <v>22</v>
      </c>
      <c r="G144">
        <v>4.0999999999999996</v>
      </c>
      <c r="H144">
        <v>2023</v>
      </c>
      <c r="I144" t="s">
        <v>1062</v>
      </c>
      <c r="J144" t="s">
        <v>1087</v>
      </c>
      <c r="K144">
        <v>4</v>
      </c>
      <c r="L144" t="s">
        <v>1051</v>
      </c>
      <c r="M144">
        <v>3</v>
      </c>
    </row>
    <row r="145" spans="1:13" x14ac:dyDescent="0.3">
      <c r="A145" t="s">
        <v>265</v>
      </c>
      <c r="B145" t="s">
        <v>19</v>
      </c>
      <c r="C145">
        <v>40</v>
      </c>
      <c r="D145" t="s">
        <v>9</v>
      </c>
      <c r="E145" s="32">
        <v>45003</v>
      </c>
      <c r="F145">
        <v>24</v>
      </c>
      <c r="G145">
        <v>4.3</v>
      </c>
      <c r="H145">
        <v>2023</v>
      </c>
      <c r="I145" t="s">
        <v>1064</v>
      </c>
      <c r="J145" t="s">
        <v>1088</v>
      </c>
      <c r="K145">
        <v>4</v>
      </c>
      <c r="L145" t="s">
        <v>1051</v>
      </c>
      <c r="M145">
        <v>3</v>
      </c>
    </row>
    <row r="146" spans="1:13" x14ac:dyDescent="0.3">
      <c r="A146" t="s">
        <v>266</v>
      </c>
      <c r="B146" t="s">
        <v>14</v>
      </c>
      <c r="C146">
        <v>75</v>
      </c>
      <c r="D146" t="s">
        <v>6</v>
      </c>
      <c r="E146" s="32">
        <v>45003</v>
      </c>
      <c r="F146">
        <v>32</v>
      </c>
      <c r="G146">
        <v>4.0999999999999996</v>
      </c>
      <c r="H146">
        <v>2023</v>
      </c>
      <c r="I146" t="s">
        <v>1064</v>
      </c>
      <c r="J146" t="s">
        <v>1087</v>
      </c>
      <c r="K146">
        <v>4</v>
      </c>
      <c r="L146" t="s">
        <v>1051</v>
      </c>
      <c r="M146">
        <v>3</v>
      </c>
    </row>
    <row r="147" spans="1:13" x14ac:dyDescent="0.3">
      <c r="A147" t="s">
        <v>268</v>
      </c>
      <c r="B147" t="s">
        <v>18</v>
      </c>
      <c r="C147">
        <v>58</v>
      </c>
      <c r="D147" t="s">
        <v>9</v>
      </c>
      <c r="E147" s="32">
        <v>45004</v>
      </c>
      <c r="F147">
        <v>43</v>
      </c>
      <c r="G147">
        <v>4.5</v>
      </c>
      <c r="H147">
        <v>2023</v>
      </c>
      <c r="I147" t="s">
        <v>1065</v>
      </c>
      <c r="J147" t="s">
        <v>1088</v>
      </c>
      <c r="K147">
        <v>5</v>
      </c>
      <c r="L147" t="s">
        <v>1051</v>
      </c>
      <c r="M147">
        <v>3</v>
      </c>
    </row>
    <row r="148" spans="1:13" x14ac:dyDescent="0.3">
      <c r="A148" t="s">
        <v>270</v>
      </c>
      <c r="B148" t="s">
        <v>22</v>
      </c>
      <c r="C148">
        <v>140</v>
      </c>
      <c r="D148" t="s">
        <v>11</v>
      </c>
      <c r="E148" s="32">
        <v>45004</v>
      </c>
      <c r="F148">
        <v>93</v>
      </c>
      <c r="G148">
        <v>4.4000000000000004</v>
      </c>
      <c r="H148">
        <v>2023</v>
      </c>
      <c r="I148" t="s">
        <v>1065</v>
      </c>
      <c r="J148" t="s">
        <v>1089</v>
      </c>
      <c r="K148">
        <v>4</v>
      </c>
      <c r="L148" t="s">
        <v>1051</v>
      </c>
      <c r="M148">
        <v>3</v>
      </c>
    </row>
    <row r="149" spans="1:13" x14ac:dyDescent="0.3">
      <c r="A149" t="s">
        <v>271</v>
      </c>
      <c r="B149" t="s">
        <v>18</v>
      </c>
      <c r="C149">
        <v>67</v>
      </c>
      <c r="D149" t="s">
        <v>11</v>
      </c>
      <c r="E149" s="32">
        <v>45004</v>
      </c>
      <c r="F149">
        <v>45</v>
      </c>
      <c r="G149">
        <v>3.5</v>
      </c>
      <c r="H149">
        <v>2023</v>
      </c>
      <c r="I149" t="s">
        <v>1065</v>
      </c>
      <c r="J149" t="s">
        <v>1087</v>
      </c>
      <c r="K149">
        <v>4</v>
      </c>
      <c r="L149" t="s">
        <v>1051</v>
      </c>
      <c r="M149">
        <v>3</v>
      </c>
    </row>
    <row r="150" spans="1:13" x14ac:dyDescent="0.3">
      <c r="A150" t="s">
        <v>275</v>
      </c>
      <c r="B150" t="s">
        <v>8</v>
      </c>
      <c r="C150">
        <v>48</v>
      </c>
      <c r="D150" t="s">
        <v>9</v>
      </c>
      <c r="E150" s="32">
        <v>45005</v>
      </c>
      <c r="F150">
        <v>200</v>
      </c>
      <c r="G150">
        <v>3.9</v>
      </c>
      <c r="H150">
        <v>2023</v>
      </c>
      <c r="I150" t="s">
        <v>1063</v>
      </c>
      <c r="J150" t="s">
        <v>1088</v>
      </c>
      <c r="K150">
        <v>4</v>
      </c>
      <c r="L150" t="s">
        <v>1051</v>
      </c>
      <c r="M150">
        <v>3</v>
      </c>
    </row>
    <row r="151" spans="1:13" x14ac:dyDescent="0.3">
      <c r="A151" t="s">
        <v>277</v>
      </c>
      <c r="B151" t="s">
        <v>21</v>
      </c>
      <c r="C151">
        <v>88</v>
      </c>
      <c r="D151" t="s">
        <v>6</v>
      </c>
      <c r="E151" s="32">
        <v>45005</v>
      </c>
      <c r="F151">
        <v>144</v>
      </c>
      <c r="G151">
        <v>2.9</v>
      </c>
      <c r="H151">
        <v>2023</v>
      </c>
      <c r="I151" t="s">
        <v>1063</v>
      </c>
      <c r="J151" t="s">
        <v>1087</v>
      </c>
      <c r="K151">
        <v>3</v>
      </c>
      <c r="L151" t="s">
        <v>1051</v>
      </c>
      <c r="M151">
        <v>3</v>
      </c>
    </row>
    <row r="152" spans="1:13" x14ac:dyDescent="0.3">
      <c r="A152" t="s">
        <v>279</v>
      </c>
      <c r="B152" t="s">
        <v>21</v>
      </c>
      <c r="C152">
        <v>155</v>
      </c>
      <c r="D152" t="s">
        <v>6</v>
      </c>
      <c r="E152" s="32">
        <v>45006</v>
      </c>
      <c r="F152">
        <v>70</v>
      </c>
      <c r="G152">
        <v>4.4000000000000004</v>
      </c>
      <c r="H152">
        <v>2023</v>
      </c>
      <c r="I152" t="s">
        <v>1067</v>
      </c>
      <c r="J152" t="s">
        <v>1089</v>
      </c>
      <c r="K152">
        <v>4</v>
      </c>
      <c r="L152" t="s">
        <v>1051</v>
      </c>
      <c r="M152">
        <v>3</v>
      </c>
    </row>
    <row r="153" spans="1:13" x14ac:dyDescent="0.3">
      <c r="A153" t="s">
        <v>281</v>
      </c>
      <c r="B153" t="s">
        <v>15</v>
      </c>
      <c r="C153">
        <v>59</v>
      </c>
      <c r="D153" t="s">
        <v>11</v>
      </c>
      <c r="E153" s="32">
        <v>45006</v>
      </c>
      <c r="F153">
        <v>215</v>
      </c>
      <c r="G153">
        <v>4.0999999999999996</v>
      </c>
      <c r="H153">
        <v>2023</v>
      </c>
      <c r="I153" t="s">
        <v>1067</v>
      </c>
      <c r="J153" t="s">
        <v>1088</v>
      </c>
      <c r="K153">
        <v>4</v>
      </c>
      <c r="L153" t="s">
        <v>1051</v>
      </c>
      <c r="M153">
        <v>3</v>
      </c>
    </row>
    <row r="154" spans="1:13" x14ac:dyDescent="0.3">
      <c r="A154" t="s">
        <v>282</v>
      </c>
      <c r="B154" t="s">
        <v>15</v>
      </c>
      <c r="C154">
        <v>144</v>
      </c>
      <c r="D154" t="s">
        <v>9</v>
      </c>
      <c r="E154" s="32">
        <v>45006</v>
      </c>
      <c r="F154">
        <v>124</v>
      </c>
      <c r="G154">
        <v>4.4000000000000004</v>
      </c>
      <c r="H154">
        <v>2023</v>
      </c>
      <c r="I154" t="s">
        <v>1067</v>
      </c>
      <c r="J154" t="s">
        <v>1089</v>
      </c>
      <c r="K154">
        <v>4</v>
      </c>
      <c r="L154" t="s">
        <v>1051</v>
      </c>
      <c r="M154">
        <v>3</v>
      </c>
    </row>
    <row r="155" spans="1:13" x14ac:dyDescent="0.3">
      <c r="A155" t="s">
        <v>284</v>
      </c>
      <c r="B155" t="s">
        <v>16</v>
      </c>
      <c r="C155">
        <v>154</v>
      </c>
      <c r="D155" t="s">
        <v>10</v>
      </c>
      <c r="E155" s="32">
        <v>45006</v>
      </c>
      <c r="F155">
        <v>90</v>
      </c>
      <c r="G155">
        <v>4.5</v>
      </c>
      <c r="H155">
        <v>2023</v>
      </c>
      <c r="I155" t="s">
        <v>1067</v>
      </c>
      <c r="J155" t="s">
        <v>1089</v>
      </c>
      <c r="K155">
        <v>5</v>
      </c>
      <c r="L155" t="s">
        <v>1051</v>
      </c>
      <c r="M155">
        <v>3</v>
      </c>
    </row>
    <row r="156" spans="1:13" x14ac:dyDescent="0.3">
      <c r="A156" t="s">
        <v>285</v>
      </c>
      <c r="B156" t="s">
        <v>16</v>
      </c>
      <c r="C156">
        <v>58</v>
      </c>
      <c r="D156" t="s">
        <v>11</v>
      </c>
      <c r="E156" s="32">
        <v>45007</v>
      </c>
      <c r="F156">
        <v>176</v>
      </c>
      <c r="G156">
        <v>4.2</v>
      </c>
      <c r="H156">
        <v>2023</v>
      </c>
      <c r="I156" t="s">
        <v>1068</v>
      </c>
      <c r="J156" t="s">
        <v>1088</v>
      </c>
      <c r="K156">
        <v>4</v>
      </c>
      <c r="L156" t="s">
        <v>1051</v>
      </c>
      <c r="M156">
        <v>3</v>
      </c>
    </row>
    <row r="157" spans="1:13" x14ac:dyDescent="0.3">
      <c r="A157" t="s">
        <v>286</v>
      </c>
      <c r="B157" t="s">
        <v>8</v>
      </c>
      <c r="C157">
        <v>63</v>
      </c>
      <c r="D157" t="s">
        <v>6</v>
      </c>
      <c r="E157" s="32">
        <v>45007</v>
      </c>
      <c r="F157">
        <v>87</v>
      </c>
      <c r="G157">
        <v>4.5999999999999996</v>
      </c>
      <c r="H157">
        <v>2023</v>
      </c>
      <c r="I157" t="s">
        <v>1068</v>
      </c>
      <c r="J157" t="s">
        <v>1087</v>
      </c>
      <c r="K157">
        <v>5</v>
      </c>
      <c r="L157" t="s">
        <v>1051</v>
      </c>
      <c r="M157">
        <v>3</v>
      </c>
    </row>
    <row r="158" spans="1:13" x14ac:dyDescent="0.3">
      <c r="A158" t="s">
        <v>287</v>
      </c>
      <c r="B158" t="s">
        <v>22</v>
      </c>
      <c r="C158">
        <v>59</v>
      </c>
      <c r="D158" t="s">
        <v>9</v>
      </c>
      <c r="E158" s="32">
        <v>45007</v>
      </c>
      <c r="F158">
        <v>128</v>
      </c>
      <c r="G158">
        <v>4.5</v>
      </c>
      <c r="H158">
        <v>2023</v>
      </c>
      <c r="I158" t="s">
        <v>1068</v>
      </c>
      <c r="J158" t="s">
        <v>1088</v>
      </c>
      <c r="K158">
        <v>5</v>
      </c>
      <c r="L158" t="s">
        <v>1051</v>
      </c>
      <c r="M158">
        <v>3</v>
      </c>
    </row>
    <row r="159" spans="1:13" x14ac:dyDescent="0.3">
      <c r="A159" t="s">
        <v>288</v>
      </c>
      <c r="B159" t="s">
        <v>5</v>
      </c>
      <c r="C159">
        <v>129</v>
      </c>
      <c r="D159" t="s">
        <v>6</v>
      </c>
      <c r="E159" s="32">
        <v>45007</v>
      </c>
      <c r="F159">
        <v>120</v>
      </c>
      <c r="G159">
        <v>4.0999999999999996</v>
      </c>
      <c r="H159">
        <v>2023</v>
      </c>
      <c r="I159" t="s">
        <v>1068</v>
      </c>
      <c r="J159" t="s">
        <v>1089</v>
      </c>
      <c r="K159">
        <v>4</v>
      </c>
      <c r="L159" t="s">
        <v>1051</v>
      </c>
      <c r="M159">
        <v>3</v>
      </c>
    </row>
    <row r="160" spans="1:13" x14ac:dyDescent="0.3">
      <c r="A160" t="s">
        <v>290</v>
      </c>
      <c r="B160" t="s">
        <v>19</v>
      </c>
      <c r="C160">
        <v>154</v>
      </c>
      <c r="D160" t="s">
        <v>9</v>
      </c>
      <c r="E160" s="32">
        <v>45007</v>
      </c>
      <c r="F160">
        <v>172</v>
      </c>
      <c r="G160">
        <v>3.1</v>
      </c>
      <c r="H160">
        <v>2023</v>
      </c>
      <c r="I160" t="s">
        <v>1068</v>
      </c>
      <c r="J160" t="s">
        <v>1089</v>
      </c>
      <c r="K160">
        <v>3</v>
      </c>
      <c r="L160" t="s">
        <v>1051</v>
      </c>
      <c r="M160">
        <v>3</v>
      </c>
    </row>
    <row r="161" spans="1:13" x14ac:dyDescent="0.3">
      <c r="A161" t="s">
        <v>291</v>
      </c>
      <c r="B161" t="s">
        <v>18</v>
      </c>
      <c r="C161">
        <v>131</v>
      </c>
      <c r="D161" t="s">
        <v>9</v>
      </c>
      <c r="E161" s="32">
        <v>45007</v>
      </c>
      <c r="F161">
        <v>58</v>
      </c>
      <c r="G161">
        <v>4.9000000000000004</v>
      </c>
      <c r="H161">
        <v>2023</v>
      </c>
      <c r="I161" t="s">
        <v>1068</v>
      </c>
      <c r="J161" t="s">
        <v>1089</v>
      </c>
      <c r="K161">
        <v>5</v>
      </c>
      <c r="L161" t="s">
        <v>1051</v>
      </c>
      <c r="M161">
        <v>3</v>
      </c>
    </row>
    <row r="162" spans="1:13" x14ac:dyDescent="0.3">
      <c r="A162" t="s">
        <v>292</v>
      </c>
      <c r="B162" t="s">
        <v>15</v>
      </c>
      <c r="C162">
        <v>111</v>
      </c>
      <c r="D162" t="s">
        <v>13</v>
      </c>
      <c r="E162" s="32">
        <v>45008</v>
      </c>
      <c r="F162">
        <v>86</v>
      </c>
      <c r="G162">
        <v>4.0999999999999996</v>
      </c>
      <c r="H162">
        <v>2023</v>
      </c>
      <c r="I162" t="s">
        <v>1066</v>
      </c>
      <c r="J162" t="s">
        <v>1087</v>
      </c>
      <c r="K162">
        <v>4</v>
      </c>
      <c r="L162" t="s">
        <v>1051</v>
      </c>
      <c r="M162">
        <v>3</v>
      </c>
    </row>
    <row r="163" spans="1:13" x14ac:dyDescent="0.3">
      <c r="A163" t="s">
        <v>293</v>
      </c>
      <c r="B163" t="s">
        <v>16</v>
      </c>
      <c r="C163">
        <v>142</v>
      </c>
      <c r="D163" t="s">
        <v>13</v>
      </c>
      <c r="E163" s="32">
        <v>45009</v>
      </c>
      <c r="F163">
        <v>31</v>
      </c>
      <c r="G163">
        <v>4.4000000000000004</v>
      </c>
      <c r="H163">
        <v>2023</v>
      </c>
      <c r="I163" t="s">
        <v>1062</v>
      </c>
      <c r="J163" t="s">
        <v>1089</v>
      </c>
      <c r="K163">
        <v>4</v>
      </c>
      <c r="L163" t="s">
        <v>1051</v>
      </c>
      <c r="M163">
        <v>3</v>
      </c>
    </row>
    <row r="164" spans="1:13" x14ac:dyDescent="0.3">
      <c r="A164" t="s">
        <v>295</v>
      </c>
      <c r="B164" t="s">
        <v>16</v>
      </c>
      <c r="C164">
        <v>125</v>
      </c>
      <c r="D164" t="s">
        <v>10</v>
      </c>
      <c r="E164" s="32">
        <v>45010</v>
      </c>
      <c r="F164">
        <v>27</v>
      </c>
      <c r="G164">
        <v>3</v>
      </c>
      <c r="H164">
        <v>2023</v>
      </c>
      <c r="I164" t="s">
        <v>1064</v>
      </c>
      <c r="J164" t="s">
        <v>1089</v>
      </c>
      <c r="K164">
        <v>3</v>
      </c>
      <c r="L164" t="s">
        <v>1051</v>
      </c>
      <c r="M164">
        <v>3</v>
      </c>
    </row>
    <row r="165" spans="1:13" x14ac:dyDescent="0.3">
      <c r="A165" t="s">
        <v>296</v>
      </c>
      <c r="B165" t="s">
        <v>5</v>
      </c>
      <c r="C165">
        <v>76</v>
      </c>
      <c r="D165" t="s">
        <v>9</v>
      </c>
      <c r="E165" s="32">
        <v>45010</v>
      </c>
      <c r="F165">
        <v>110</v>
      </c>
      <c r="G165">
        <v>4.4000000000000004</v>
      </c>
      <c r="H165">
        <v>2023</v>
      </c>
      <c r="I165" t="s">
        <v>1064</v>
      </c>
      <c r="J165" t="s">
        <v>1087</v>
      </c>
      <c r="K165">
        <v>4</v>
      </c>
      <c r="L165" t="s">
        <v>1051</v>
      </c>
      <c r="M165">
        <v>3</v>
      </c>
    </row>
    <row r="166" spans="1:13" x14ac:dyDescent="0.3">
      <c r="A166" t="s">
        <v>298</v>
      </c>
      <c r="B166" t="s">
        <v>22</v>
      </c>
      <c r="C166">
        <v>149</v>
      </c>
      <c r="D166" t="s">
        <v>10</v>
      </c>
      <c r="E166" s="32">
        <v>45010</v>
      </c>
      <c r="F166">
        <v>60</v>
      </c>
      <c r="G166">
        <v>3.9</v>
      </c>
      <c r="H166">
        <v>2023</v>
      </c>
      <c r="I166" t="s">
        <v>1064</v>
      </c>
      <c r="J166" t="s">
        <v>1089</v>
      </c>
      <c r="K166">
        <v>4</v>
      </c>
      <c r="L166" t="s">
        <v>1051</v>
      </c>
      <c r="M166">
        <v>3</v>
      </c>
    </row>
    <row r="167" spans="1:13" x14ac:dyDescent="0.3">
      <c r="A167" t="s">
        <v>299</v>
      </c>
      <c r="B167" t="s">
        <v>16</v>
      </c>
      <c r="C167">
        <v>57</v>
      </c>
      <c r="D167" t="s">
        <v>6</v>
      </c>
      <c r="E167" s="32">
        <v>45010</v>
      </c>
      <c r="F167">
        <v>35</v>
      </c>
      <c r="G167">
        <v>3.5</v>
      </c>
      <c r="H167">
        <v>2023</v>
      </c>
      <c r="I167" t="s">
        <v>1064</v>
      </c>
      <c r="J167" t="s">
        <v>1088</v>
      </c>
      <c r="K167">
        <v>4</v>
      </c>
      <c r="L167" t="s">
        <v>1051</v>
      </c>
      <c r="M167">
        <v>3</v>
      </c>
    </row>
    <row r="168" spans="1:13" x14ac:dyDescent="0.3">
      <c r="A168" t="s">
        <v>302</v>
      </c>
      <c r="B168" t="s">
        <v>8</v>
      </c>
      <c r="C168">
        <v>158</v>
      </c>
      <c r="D168" t="s">
        <v>11</v>
      </c>
      <c r="E168" s="32">
        <v>45010</v>
      </c>
      <c r="F168">
        <v>60</v>
      </c>
      <c r="G168">
        <v>4.5</v>
      </c>
      <c r="H168">
        <v>2023</v>
      </c>
      <c r="I168" t="s">
        <v>1064</v>
      </c>
      <c r="J168" t="s">
        <v>1089</v>
      </c>
      <c r="K168">
        <v>5</v>
      </c>
      <c r="L168" t="s">
        <v>1051</v>
      </c>
      <c r="M168">
        <v>3</v>
      </c>
    </row>
    <row r="169" spans="1:13" x14ac:dyDescent="0.3">
      <c r="A169" t="s">
        <v>304</v>
      </c>
      <c r="B169" t="s">
        <v>14</v>
      </c>
      <c r="C169">
        <v>118</v>
      </c>
      <c r="D169" t="s">
        <v>13</v>
      </c>
      <c r="E169" s="32">
        <v>45011</v>
      </c>
      <c r="F169">
        <v>99</v>
      </c>
      <c r="G169">
        <v>5</v>
      </c>
      <c r="H169">
        <v>2023</v>
      </c>
      <c r="I169" t="s">
        <v>1065</v>
      </c>
      <c r="J169" t="s">
        <v>1087</v>
      </c>
      <c r="K169">
        <v>5</v>
      </c>
      <c r="L169" t="s">
        <v>1051</v>
      </c>
      <c r="M169">
        <v>3</v>
      </c>
    </row>
    <row r="170" spans="1:13" x14ac:dyDescent="0.3">
      <c r="A170" t="s">
        <v>305</v>
      </c>
      <c r="B170" t="s">
        <v>19</v>
      </c>
      <c r="C170">
        <v>75</v>
      </c>
      <c r="D170" t="s">
        <v>9</v>
      </c>
      <c r="E170" s="32">
        <v>45011</v>
      </c>
      <c r="F170">
        <v>135</v>
      </c>
      <c r="G170">
        <v>4.7</v>
      </c>
      <c r="H170">
        <v>2023</v>
      </c>
      <c r="I170" t="s">
        <v>1065</v>
      </c>
      <c r="J170" t="s">
        <v>1087</v>
      </c>
      <c r="K170">
        <v>5</v>
      </c>
      <c r="L170" t="s">
        <v>1051</v>
      </c>
      <c r="M170">
        <v>3</v>
      </c>
    </row>
    <row r="171" spans="1:13" x14ac:dyDescent="0.3">
      <c r="A171" t="s">
        <v>308</v>
      </c>
      <c r="B171" t="s">
        <v>15</v>
      </c>
      <c r="C171">
        <v>61</v>
      </c>
      <c r="D171" t="s">
        <v>11</v>
      </c>
      <c r="E171" s="32">
        <v>45012</v>
      </c>
      <c r="F171">
        <v>140</v>
      </c>
      <c r="G171">
        <v>1.8</v>
      </c>
      <c r="H171">
        <v>2023</v>
      </c>
      <c r="I171" t="s">
        <v>1063</v>
      </c>
      <c r="J171" t="s">
        <v>1087</v>
      </c>
      <c r="K171">
        <v>2</v>
      </c>
      <c r="L171" t="s">
        <v>1051</v>
      </c>
      <c r="M171">
        <v>3</v>
      </c>
    </row>
    <row r="172" spans="1:13" x14ac:dyDescent="0.3">
      <c r="A172" t="s">
        <v>309</v>
      </c>
      <c r="B172" t="s">
        <v>16</v>
      </c>
      <c r="C172">
        <v>126</v>
      </c>
      <c r="D172" t="s">
        <v>9</v>
      </c>
      <c r="E172" s="32">
        <v>45012</v>
      </c>
      <c r="F172">
        <v>128</v>
      </c>
      <c r="G172">
        <v>4.2</v>
      </c>
      <c r="H172">
        <v>2023</v>
      </c>
      <c r="I172" t="s">
        <v>1063</v>
      </c>
      <c r="J172" t="s">
        <v>1089</v>
      </c>
      <c r="K172">
        <v>4</v>
      </c>
      <c r="L172" t="s">
        <v>1051</v>
      </c>
      <c r="M172">
        <v>3</v>
      </c>
    </row>
    <row r="173" spans="1:13" x14ac:dyDescent="0.3">
      <c r="A173" t="s">
        <v>311</v>
      </c>
      <c r="B173" t="s">
        <v>8</v>
      </c>
      <c r="C173">
        <v>95</v>
      </c>
      <c r="D173" t="s">
        <v>13</v>
      </c>
      <c r="E173" s="32">
        <v>45012</v>
      </c>
      <c r="F173">
        <v>28</v>
      </c>
      <c r="G173">
        <v>2.7</v>
      </c>
      <c r="H173">
        <v>2023</v>
      </c>
      <c r="I173" t="s">
        <v>1063</v>
      </c>
      <c r="J173" t="s">
        <v>1087</v>
      </c>
      <c r="K173">
        <v>3</v>
      </c>
      <c r="L173" t="s">
        <v>1051</v>
      </c>
      <c r="M173">
        <v>3</v>
      </c>
    </row>
    <row r="174" spans="1:13" x14ac:dyDescent="0.3">
      <c r="A174" t="s">
        <v>312</v>
      </c>
      <c r="B174" t="s">
        <v>19</v>
      </c>
      <c r="C174">
        <v>39</v>
      </c>
      <c r="D174" t="s">
        <v>11</v>
      </c>
      <c r="E174" s="32">
        <v>45013</v>
      </c>
      <c r="F174">
        <v>81</v>
      </c>
      <c r="G174">
        <v>5</v>
      </c>
      <c r="H174">
        <v>2023</v>
      </c>
      <c r="I174" t="s">
        <v>1067</v>
      </c>
      <c r="J174" t="s">
        <v>1088</v>
      </c>
      <c r="K174">
        <v>5</v>
      </c>
      <c r="L174" t="s">
        <v>1051</v>
      </c>
      <c r="M174">
        <v>3</v>
      </c>
    </row>
    <row r="175" spans="1:13" x14ac:dyDescent="0.3">
      <c r="A175" t="s">
        <v>314</v>
      </c>
      <c r="B175" t="s">
        <v>15</v>
      </c>
      <c r="C175">
        <v>78</v>
      </c>
      <c r="D175" t="s">
        <v>9</v>
      </c>
      <c r="E175" s="32">
        <v>45013</v>
      </c>
      <c r="F175">
        <v>43</v>
      </c>
      <c r="G175">
        <v>3.8</v>
      </c>
      <c r="H175">
        <v>2023</v>
      </c>
      <c r="I175" t="s">
        <v>1067</v>
      </c>
      <c r="J175" t="s">
        <v>1087</v>
      </c>
      <c r="K175">
        <v>4</v>
      </c>
      <c r="L175" t="s">
        <v>1051</v>
      </c>
      <c r="M175">
        <v>3</v>
      </c>
    </row>
    <row r="176" spans="1:13" x14ac:dyDescent="0.3">
      <c r="A176" t="s">
        <v>315</v>
      </c>
      <c r="B176" t="s">
        <v>14</v>
      </c>
      <c r="C176">
        <v>40</v>
      </c>
      <c r="D176" t="s">
        <v>9</v>
      </c>
      <c r="E176" s="32">
        <v>45013</v>
      </c>
      <c r="F176">
        <v>34</v>
      </c>
      <c r="G176">
        <v>4.5999999999999996</v>
      </c>
      <c r="H176">
        <v>2023</v>
      </c>
      <c r="I176" t="s">
        <v>1067</v>
      </c>
      <c r="J176" t="s">
        <v>1088</v>
      </c>
      <c r="K176">
        <v>5</v>
      </c>
      <c r="L176" t="s">
        <v>1051</v>
      </c>
      <c r="M176">
        <v>3</v>
      </c>
    </row>
    <row r="177" spans="1:13" x14ac:dyDescent="0.3">
      <c r="A177" t="s">
        <v>316</v>
      </c>
      <c r="B177" t="s">
        <v>15</v>
      </c>
      <c r="C177">
        <v>56</v>
      </c>
      <c r="D177" t="s">
        <v>11</v>
      </c>
      <c r="E177" s="32">
        <v>45013</v>
      </c>
      <c r="F177">
        <v>225</v>
      </c>
      <c r="G177">
        <v>4.5999999999999996</v>
      </c>
      <c r="H177">
        <v>2023</v>
      </c>
      <c r="I177" t="s">
        <v>1067</v>
      </c>
      <c r="J177" t="s">
        <v>1088</v>
      </c>
      <c r="K177">
        <v>5</v>
      </c>
      <c r="L177" t="s">
        <v>1051</v>
      </c>
      <c r="M177">
        <v>3</v>
      </c>
    </row>
    <row r="178" spans="1:13" x14ac:dyDescent="0.3">
      <c r="A178" t="s">
        <v>317</v>
      </c>
      <c r="B178" t="s">
        <v>19</v>
      </c>
      <c r="C178">
        <v>59</v>
      </c>
      <c r="D178" t="s">
        <v>6</v>
      </c>
      <c r="E178" s="32">
        <v>45013</v>
      </c>
      <c r="F178">
        <v>210</v>
      </c>
      <c r="G178">
        <v>4.5</v>
      </c>
      <c r="H178">
        <v>2023</v>
      </c>
      <c r="I178" t="s">
        <v>1067</v>
      </c>
      <c r="J178" t="s">
        <v>1088</v>
      </c>
      <c r="K178">
        <v>5</v>
      </c>
      <c r="L178" t="s">
        <v>1051</v>
      </c>
      <c r="M178">
        <v>3</v>
      </c>
    </row>
    <row r="179" spans="1:13" x14ac:dyDescent="0.3">
      <c r="A179" t="s">
        <v>318</v>
      </c>
      <c r="B179" t="s">
        <v>16</v>
      </c>
      <c r="C179">
        <v>30</v>
      </c>
      <c r="D179" t="s">
        <v>9</v>
      </c>
      <c r="E179" s="32">
        <v>45013</v>
      </c>
      <c r="F179">
        <v>168</v>
      </c>
      <c r="G179">
        <v>4.2</v>
      </c>
      <c r="H179">
        <v>2023</v>
      </c>
      <c r="I179" t="s">
        <v>1067</v>
      </c>
      <c r="J179" t="s">
        <v>1091</v>
      </c>
      <c r="K179">
        <v>4</v>
      </c>
      <c r="L179" t="s">
        <v>1051</v>
      </c>
      <c r="M179">
        <v>3</v>
      </c>
    </row>
    <row r="180" spans="1:13" x14ac:dyDescent="0.3">
      <c r="A180" t="s">
        <v>319</v>
      </c>
      <c r="B180" t="s">
        <v>14</v>
      </c>
      <c r="C180">
        <v>63</v>
      </c>
      <c r="D180" t="s">
        <v>10</v>
      </c>
      <c r="E180" s="32">
        <v>45014</v>
      </c>
      <c r="F180">
        <v>82</v>
      </c>
      <c r="G180">
        <v>4.5</v>
      </c>
      <c r="H180">
        <v>2023</v>
      </c>
      <c r="I180" t="s">
        <v>1068</v>
      </c>
      <c r="J180" t="s">
        <v>1087</v>
      </c>
      <c r="K180">
        <v>5</v>
      </c>
      <c r="L180" t="s">
        <v>1051</v>
      </c>
      <c r="M180">
        <v>3</v>
      </c>
    </row>
    <row r="181" spans="1:13" x14ac:dyDescent="0.3">
      <c r="A181" t="s">
        <v>321</v>
      </c>
      <c r="B181" t="s">
        <v>5</v>
      </c>
      <c r="C181">
        <v>95</v>
      </c>
      <c r="D181" t="s">
        <v>10</v>
      </c>
      <c r="E181" s="32">
        <v>45014</v>
      </c>
      <c r="F181">
        <v>111</v>
      </c>
      <c r="G181">
        <v>3.3</v>
      </c>
      <c r="H181">
        <v>2023</v>
      </c>
      <c r="I181" t="s">
        <v>1068</v>
      </c>
      <c r="J181" t="s">
        <v>1087</v>
      </c>
      <c r="K181">
        <v>3</v>
      </c>
      <c r="L181" t="s">
        <v>1051</v>
      </c>
      <c r="M181">
        <v>3</v>
      </c>
    </row>
    <row r="182" spans="1:13" x14ac:dyDescent="0.3">
      <c r="A182" t="s">
        <v>323</v>
      </c>
      <c r="B182" t="s">
        <v>8</v>
      </c>
      <c r="C182">
        <v>49</v>
      </c>
      <c r="D182" t="s">
        <v>10</v>
      </c>
      <c r="E182" s="32">
        <v>45014</v>
      </c>
      <c r="F182">
        <v>80</v>
      </c>
      <c r="G182">
        <v>3</v>
      </c>
      <c r="H182">
        <v>2023</v>
      </c>
      <c r="I182" t="s">
        <v>1068</v>
      </c>
      <c r="J182" t="s">
        <v>1088</v>
      </c>
      <c r="K182">
        <v>3</v>
      </c>
      <c r="L182" t="s">
        <v>1051</v>
      </c>
      <c r="M182">
        <v>3</v>
      </c>
    </row>
    <row r="183" spans="1:13" x14ac:dyDescent="0.3">
      <c r="A183" t="s">
        <v>325</v>
      </c>
      <c r="B183" t="s">
        <v>22</v>
      </c>
      <c r="C183">
        <v>87</v>
      </c>
      <c r="D183" t="s">
        <v>10</v>
      </c>
      <c r="E183" s="32">
        <v>45016</v>
      </c>
      <c r="F183">
        <v>225</v>
      </c>
      <c r="G183">
        <v>2.9</v>
      </c>
      <c r="H183">
        <v>2023</v>
      </c>
      <c r="I183" t="s">
        <v>1062</v>
      </c>
      <c r="J183" t="s">
        <v>1087</v>
      </c>
      <c r="K183">
        <v>3</v>
      </c>
      <c r="L183" t="s">
        <v>1051</v>
      </c>
      <c r="M183">
        <v>3</v>
      </c>
    </row>
    <row r="184" spans="1:13" x14ac:dyDescent="0.3">
      <c r="A184" t="s">
        <v>327</v>
      </c>
      <c r="B184" t="s">
        <v>21</v>
      </c>
      <c r="C184">
        <v>42</v>
      </c>
      <c r="D184" t="s">
        <v>11</v>
      </c>
      <c r="E184" s="32">
        <v>45017</v>
      </c>
      <c r="F184">
        <v>45</v>
      </c>
      <c r="G184">
        <v>1.5</v>
      </c>
      <c r="H184">
        <v>2023</v>
      </c>
      <c r="I184" t="s">
        <v>1064</v>
      </c>
      <c r="J184" t="s">
        <v>1088</v>
      </c>
      <c r="K184">
        <v>2</v>
      </c>
      <c r="L184" t="s">
        <v>1052</v>
      </c>
      <c r="M184">
        <v>4</v>
      </c>
    </row>
    <row r="185" spans="1:13" x14ac:dyDescent="0.3">
      <c r="A185" t="s">
        <v>328</v>
      </c>
      <c r="B185" t="s">
        <v>18</v>
      </c>
      <c r="C185">
        <v>99</v>
      </c>
      <c r="D185" t="s">
        <v>9</v>
      </c>
      <c r="E185" s="32">
        <v>45017</v>
      </c>
      <c r="F185">
        <v>74</v>
      </c>
      <c r="G185">
        <v>4</v>
      </c>
      <c r="H185">
        <v>2023</v>
      </c>
      <c r="I185" t="s">
        <v>1064</v>
      </c>
      <c r="J185" t="s">
        <v>1087</v>
      </c>
      <c r="K185">
        <v>4</v>
      </c>
      <c r="L185" t="s">
        <v>1052</v>
      </c>
      <c r="M185">
        <v>4</v>
      </c>
    </row>
    <row r="186" spans="1:13" x14ac:dyDescent="0.3">
      <c r="A186" t="s">
        <v>330</v>
      </c>
      <c r="B186" t="s">
        <v>14</v>
      </c>
      <c r="C186">
        <v>65</v>
      </c>
      <c r="D186" t="s">
        <v>9</v>
      </c>
      <c r="E186" s="32">
        <v>45017</v>
      </c>
      <c r="F186">
        <v>64</v>
      </c>
      <c r="G186">
        <v>3.7</v>
      </c>
      <c r="H186">
        <v>2023</v>
      </c>
      <c r="I186" t="s">
        <v>1064</v>
      </c>
      <c r="J186" t="s">
        <v>1087</v>
      </c>
      <c r="K186">
        <v>4</v>
      </c>
      <c r="L186" t="s">
        <v>1052</v>
      </c>
      <c r="M186">
        <v>4</v>
      </c>
    </row>
    <row r="187" spans="1:13" x14ac:dyDescent="0.3">
      <c r="A187" t="s">
        <v>331</v>
      </c>
      <c r="B187" t="s">
        <v>16</v>
      </c>
      <c r="C187">
        <v>71</v>
      </c>
      <c r="D187" t="s">
        <v>10</v>
      </c>
      <c r="E187" s="32">
        <v>45018</v>
      </c>
      <c r="F187">
        <v>110</v>
      </c>
      <c r="G187">
        <v>4.8</v>
      </c>
      <c r="H187">
        <v>2023</v>
      </c>
      <c r="I187" t="s">
        <v>1065</v>
      </c>
      <c r="J187" t="s">
        <v>1087</v>
      </c>
      <c r="K187">
        <v>5</v>
      </c>
      <c r="L187" t="s">
        <v>1052</v>
      </c>
      <c r="M187">
        <v>4</v>
      </c>
    </row>
    <row r="188" spans="1:13" x14ac:dyDescent="0.3">
      <c r="A188" t="s">
        <v>336</v>
      </c>
      <c r="B188" t="s">
        <v>18</v>
      </c>
      <c r="C188">
        <v>111</v>
      </c>
      <c r="D188" t="s">
        <v>9</v>
      </c>
      <c r="E188" s="32">
        <v>45020</v>
      </c>
      <c r="F188">
        <v>175</v>
      </c>
      <c r="G188">
        <v>3.5</v>
      </c>
      <c r="H188">
        <v>2023</v>
      </c>
      <c r="I188" t="s">
        <v>1067</v>
      </c>
      <c r="J188" t="s">
        <v>1087</v>
      </c>
      <c r="K188">
        <v>4</v>
      </c>
      <c r="L188" t="s">
        <v>1052</v>
      </c>
      <c r="M188">
        <v>4</v>
      </c>
    </row>
    <row r="189" spans="1:13" x14ac:dyDescent="0.3">
      <c r="A189" t="s">
        <v>337</v>
      </c>
      <c r="B189" t="s">
        <v>16</v>
      </c>
      <c r="C189">
        <v>106</v>
      </c>
      <c r="D189" t="s">
        <v>9</v>
      </c>
      <c r="E189" s="32">
        <v>45020</v>
      </c>
      <c r="F189">
        <v>145</v>
      </c>
      <c r="G189">
        <v>4.0999999999999996</v>
      </c>
      <c r="H189">
        <v>2023</v>
      </c>
      <c r="I189" t="s">
        <v>1067</v>
      </c>
      <c r="J189" t="s">
        <v>1087</v>
      </c>
      <c r="K189">
        <v>4</v>
      </c>
      <c r="L189" t="s">
        <v>1052</v>
      </c>
      <c r="M189">
        <v>4</v>
      </c>
    </row>
    <row r="190" spans="1:13" x14ac:dyDescent="0.3">
      <c r="A190" t="s">
        <v>338</v>
      </c>
      <c r="B190" t="s">
        <v>21</v>
      </c>
      <c r="C190">
        <v>133</v>
      </c>
      <c r="D190" t="s">
        <v>11</v>
      </c>
      <c r="E190" s="32">
        <v>45020</v>
      </c>
      <c r="F190">
        <v>72</v>
      </c>
      <c r="G190">
        <v>4.4000000000000004</v>
      </c>
      <c r="H190">
        <v>2023</v>
      </c>
      <c r="I190" t="s">
        <v>1067</v>
      </c>
      <c r="J190" t="s">
        <v>1089</v>
      </c>
      <c r="K190">
        <v>4</v>
      </c>
      <c r="L190" t="s">
        <v>1052</v>
      </c>
      <c r="M190">
        <v>4</v>
      </c>
    </row>
    <row r="191" spans="1:13" x14ac:dyDescent="0.3">
      <c r="A191" t="s">
        <v>339</v>
      </c>
      <c r="B191" t="s">
        <v>15</v>
      </c>
      <c r="C191">
        <v>38</v>
      </c>
      <c r="D191" t="s">
        <v>9</v>
      </c>
      <c r="E191" s="32">
        <v>45021</v>
      </c>
      <c r="F191">
        <v>81</v>
      </c>
      <c r="G191">
        <v>3.6</v>
      </c>
      <c r="H191">
        <v>2023</v>
      </c>
      <c r="I191" t="s">
        <v>1068</v>
      </c>
      <c r="J191" t="s">
        <v>1088</v>
      </c>
      <c r="K191">
        <v>4</v>
      </c>
      <c r="L191" t="s">
        <v>1052</v>
      </c>
      <c r="M191">
        <v>4</v>
      </c>
    </row>
    <row r="192" spans="1:13" x14ac:dyDescent="0.3">
      <c r="A192" t="s">
        <v>340</v>
      </c>
      <c r="B192" t="s">
        <v>19</v>
      </c>
      <c r="C192">
        <v>130</v>
      </c>
      <c r="D192" t="s">
        <v>6</v>
      </c>
      <c r="E192" s="32">
        <v>45021</v>
      </c>
      <c r="F192">
        <v>54</v>
      </c>
      <c r="G192">
        <v>4.0999999999999996</v>
      </c>
      <c r="H192">
        <v>2023</v>
      </c>
      <c r="I192" t="s">
        <v>1068</v>
      </c>
      <c r="J192" t="s">
        <v>1089</v>
      </c>
      <c r="K192">
        <v>4</v>
      </c>
      <c r="L192" t="s">
        <v>1052</v>
      </c>
      <c r="M192">
        <v>4</v>
      </c>
    </row>
    <row r="193" spans="1:13" x14ac:dyDescent="0.3">
      <c r="A193" t="s">
        <v>341</v>
      </c>
      <c r="B193" t="s">
        <v>14</v>
      </c>
      <c r="C193">
        <v>23</v>
      </c>
      <c r="D193" t="s">
        <v>11</v>
      </c>
      <c r="E193" s="32">
        <v>45021</v>
      </c>
      <c r="F193">
        <v>105</v>
      </c>
      <c r="G193">
        <v>4.8</v>
      </c>
      <c r="H193">
        <v>2023</v>
      </c>
      <c r="I193" t="s">
        <v>1068</v>
      </c>
      <c r="J193" t="s">
        <v>1091</v>
      </c>
      <c r="K193">
        <v>5</v>
      </c>
      <c r="L193" t="s">
        <v>1052</v>
      </c>
      <c r="M193">
        <v>4</v>
      </c>
    </row>
    <row r="194" spans="1:13" x14ac:dyDescent="0.3">
      <c r="A194" t="s">
        <v>342</v>
      </c>
      <c r="B194" t="s">
        <v>19</v>
      </c>
      <c r="C194">
        <v>124</v>
      </c>
      <c r="D194" t="s">
        <v>9</v>
      </c>
      <c r="E194" s="32">
        <v>45022</v>
      </c>
      <c r="F194">
        <v>176</v>
      </c>
      <c r="G194">
        <v>3.9</v>
      </c>
      <c r="H194">
        <v>2023</v>
      </c>
      <c r="I194" t="s">
        <v>1066</v>
      </c>
      <c r="J194" t="s">
        <v>1089</v>
      </c>
      <c r="K194">
        <v>4</v>
      </c>
      <c r="L194" t="s">
        <v>1052</v>
      </c>
      <c r="M194">
        <v>4</v>
      </c>
    </row>
    <row r="195" spans="1:13" x14ac:dyDescent="0.3">
      <c r="A195" t="s">
        <v>346</v>
      </c>
      <c r="B195" t="s">
        <v>22</v>
      </c>
      <c r="C195">
        <v>110</v>
      </c>
      <c r="D195" t="s">
        <v>6</v>
      </c>
      <c r="E195" s="32">
        <v>45023</v>
      </c>
      <c r="F195">
        <v>36</v>
      </c>
      <c r="G195">
        <v>2.2000000000000002</v>
      </c>
      <c r="H195">
        <v>2023</v>
      </c>
      <c r="I195" t="s">
        <v>1062</v>
      </c>
      <c r="J195" t="s">
        <v>1087</v>
      </c>
      <c r="K195">
        <v>2</v>
      </c>
      <c r="L195" t="s">
        <v>1052</v>
      </c>
      <c r="M195">
        <v>4</v>
      </c>
    </row>
    <row r="196" spans="1:13" x14ac:dyDescent="0.3">
      <c r="A196" t="s">
        <v>349</v>
      </c>
      <c r="B196" t="s">
        <v>15</v>
      </c>
      <c r="C196">
        <v>36</v>
      </c>
      <c r="D196" t="s">
        <v>9</v>
      </c>
      <c r="E196" s="32">
        <v>45023</v>
      </c>
      <c r="F196">
        <v>135</v>
      </c>
      <c r="G196">
        <v>4.5999999999999996</v>
      </c>
      <c r="H196">
        <v>2023</v>
      </c>
      <c r="I196" t="s">
        <v>1062</v>
      </c>
      <c r="J196" t="s">
        <v>1088</v>
      </c>
      <c r="K196">
        <v>5</v>
      </c>
      <c r="L196" t="s">
        <v>1052</v>
      </c>
      <c r="M196">
        <v>4</v>
      </c>
    </row>
    <row r="197" spans="1:13" x14ac:dyDescent="0.3">
      <c r="A197" t="s">
        <v>350</v>
      </c>
      <c r="B197" t="s">
        <v>19</v>
      </c>
      <c r="C197">
        <v>74</v>
      </c>
      <c r="D197" t="s">
        <v>9</v>
      </c>
      <c r="E197" s="32">
        <v>45023</v>
      </c>
      <c r="F197">
        <v>30</v>
      </c>
      <c r="G197">
        <v>4</v>
      </c>
      <c r="H197">
        <v>2023</v>
      </c>
      <c r="I197" t="s">
        <v>1062</v>
      </c>
      <c r="J197" t="s">
        <v>1087</v>
      </c>
      <c r="K197">
        <v>4</v>
      </c>
      <c r="L197" t="s">
        <v>1052</v>
      </c>
      <c r="M197">
        <v>4</v>
      </c>
    </row>
    <row r="198" spans="1:13" x14ac:dyDescent="0.3">
      <c r="A198" t="s">
        <v>352</v>
      </c>
      <c r="B198" t="s">
        <v>5</v>
      </c>
      <c r="C198">
        <v>70</v>
      </c>
      <c r="D198" t="s">
        <v>13</v>
      </c>
      <c r="E198" s="32">
        <v>45023</v>
      </c>
      <c r="F198">
        <v>42</v>
      </c>
      <c r="G198">
        <v>4.4000000000000004</v>
      </c>
      <c r="H198">
        <v>2023</v>
      </c>
      <c r="I198" t="s">
        <v>1062</v>
      </c>
      <c r="J198" t="s">
        <v>1087</v>
      </c>
      <c r="K198">
        <v>4</v>
      </c>
      <c r="L198" t="s">
        <v>1052</v>
      </c>
      <c r="M198">
        <v>4</v>
      </c>
    </row>
    <row r="199" spans="1:13" x14ac:dyDescent="0.3">
      <c r="A199" t="s">
        <v>353</v>
      </c>
      <c r="B199" t="s">
        <v>22</v>
      </c>
      <c r="C199">
        <v>23</v>
      </c>
      <c r="D199" t="s">
        <v>6</v>
      </c>
      <c r="E199" s="32">
        <v>45023</v>
      </c>
      <c r="F199">
        <v>117</v>
      </c>
      <c r="G199">
        <v>2.4</v>
      </c>
      <c r="H199">
        <v>2023</v>
      </c>
      <c r="I199" t="s">
        <v>1062</v>
      </c>
      <c r="J199" t="s">
        <v>1091</v>
      </c>
      <c r="K199">
        <v>2</v>
      </c>
      <c r="L199" t="s">
        <v>1052</v>
      </c>
      <c r="M199">
        <v>4</v>
      </c>
    </row>
    <row r="200" spans="1:13" x14ac:dyDescent="0.3">
      <c r="A200" t="s">
        <v>354</v>
      </c>
      <c r="B200" t="s">
        <v>18</v>
      </c>
      <c r="C200">
        <v>104</v>
      </c>
      <c r="D200" t="s">
        <v>11</v>
      </c>
      <c r="E200" s="32">
        <v>45023</v>
      </c>
      <c r="F200">
        <v>164</v>
      </c>
      <c r="G200">
        <v>4</v>
      </c>
      <c r="H200">
        <v>2023</v>
      </c>
      <c r="I200" t="s">
        <v>1062</v>
      </c>
      <c r="J200" t="s">
        <v>1087</v>
      </c>
      <c r="K200">
        <v>4</v>
      </c>
      <c r="L200" t="s">
        <v>1052</v>
      </c>
      <c r="M200">
        <v>4</v>
      </c>
    </row>
    <row r="201" spans="1:13" x14ac:dyDescent="0.3">
      <c r="A201" t="s">
        <v>356</v>
      </c>
      <c r="B201" t="s">
        <v>8</v>
      </c>
      <c r="C201">
        <v>49</v>
      </c>
      <c r="D201" t="s">
        <v>10</v>
      </c>
      <c r="E201" s="32">
        <v>45024</v>
      </c>
      <c r="F201">
        <v>172</v>
      </c>
      <c r="G201">
        <v>2.9</v>
      </c>
      <c r="H201">
        <v>2023</v>
      </c>
      <c r="I201" t="s">
        <v>1064</v>
      </c>
      <c r="J201" t="s">
        <v>1088</v>
      </c>
      <c r="K201">
        <v>3</v>
      </c>
      <c r="L201" t="s">
        <v>1052</v>
      </c>
      <c r="M201">
        <v>4</v>
      </c>
    </row>
    <row r="202" spans="1:13" x14ac:dyDescent="0.3">
      <c r="A202" t="s">
        <v>357</v>
      </c>
      <c r="B202" t="s">
        <v>16</v>
      </c>
      <c r="C202">
        <v>8</v>
      </c>
      <c r="D202" t="s">
        <v>6</v>
      </c>
      <c r="E202" s="32">
        <v>45024</v>
      </c>
      <c r="F202">
        <v>20</v>
      </c>
      <c r="G202">
        <v>4.8</v>
      </c>
      <c r="H202">
        <v>2023</v>
      </c>
      <c r="I202" t="s">
        <v>1064</v>
      </c>
      <c r="J202" t="s">
        <v>1090</v>
      </c>
      <c r="K202">
        <v>5</v>
      </c>
      <c r="L202" t="s">
        <v>1052</v>
      </c>
      <c r="M202">
        <v>4</v>
      </c>
    </row>
    <row r="203" spans="1:13" x14ac:dyDescent="0.3">
      <c r="A203" t="s">
        <v>360</v>
      </c>
      <c r="B203" t="s">
        <v>22</v>
      </c>
      <c r="C203">
        <v>72</v>
      </c>
      <c r="D203" t="s">
        <v>13</v>
      </c>
      <c r="E203" s="32">
        <v>45024</v>
      </c>
      <c r="F203">
        <v>140</v>
      </c>
      <c r="G203">
        <v>3.2</v>
      </c>
      <c r="H203">
        <v>2023</v>
      </c>
      <c r="I203" t="s">
        <v>1064</v>
      </c>
      <c r="J203" t="s">
        <v>1087</v>
      </c>
      <c r="K203">
        <v>3</v>
      </c>
      <c r="L203" t="s">
        <v>1052</v>
      </c>
      <c r="M203">
        <v>4</v>
      </c>
    </row>
    <row r="204" spans="1:13" x14ac:dyDescent="0.3">
      <c r="A204" t="s">
        <v>362</v>
      </c>
      <c r="B204" t="s">
        <v>19</v>
      </c>
      <c r="C204">
        <v>23</v>
      </c>
      <c r="D204" t="s">
        <v>9</v>
      </c>
      <c r="E204" s="32">
        <v>45025</v>
      </c>
      <c r="F204">
        <v>86</v>
      </c>
      <c r="G204">
        <v>2.2000000000000002</v>
      </c>
      <c r="H204">
        <v>2023</v>
      </c>
      <c r="I204" t="s">
        <v>1065</v>
      </c>
      <c r="J204" t="s">
        <v>1091</v>
      </c>
      <c r="K204">
        <v>2</v>
      </c>
      <c r="L204" t="s">
        <v>1052</v>
      </c>
      <c r="M204">
        <v>4</v>
      </c>
    </row>
    <row r="205" spans="1:13" x14ac:dyDescent="0.3">
      <c r="A205" t="s">
        <v>367</v>
      </c>
      <c r="B205" t="s">
        <v>18</v>
      </c>
      <c r="C205">
        <v>104</v>
      </c>
      <c r="D205" t="s">
        <v>13</v>
      </c>
      <c r="E205" s="32">
        <v>45026</v>
      </c>
      <c r="F205">
        <v>68</v>
      </c>
      <c r="G205">
        <v>3.6</v>
      </c>
      <c r="H205">
        <v>2023</v>
      </c>
      <c r="I205" t="s">
        <v>1063</v>
      </c>
      <c r="J205" t="s">
        <v>1087</v>
      </c>
      <c r="K205">
        <v>4</v>
      </c>
      <c r="L205" t="s">
        <v>1052</v>
      </c>
      <c r="M205">
        <v>4</v>
      </c>
    </row>
    <row r="206" spans="1:13" x14ac:dyDescent="0.3">
      <c r="A206" t="s">
        <v>369</v>
      </c>
      <c r="B206" t="s">
        <v>19</v>
      </c>
      <c r="C206">
        <v>99</v>
      </c>
      <c r="D206" t="s">
        <v>13</v>
      </c>
      <c r="E206" s="32">
        <v>45026</v>
      </c>
      <c r="F206">
        <v>42</v>
      </c>
      <c r="G206">
        <v>3.1</v>
      </c>
      <c r="H206">
        <v>2023</v>
      </c>
      <c r="I206" t="s">
        <v>1063</v>
      </c>
      <c r="J206" t="s">
        <v>1087</v>
      </c>
      <c r="K206">
        <v>3</v>
      </c>
      <c r="L206" t="s">
        <v>1052</v>
      </c>
      <c r="M206">
        <v>4</v>
      </c>
    </row>
    <row r="207" spans="1:13" x14ac:dyDescent="0.3">
      <c r="A207" t="s">
        <v>370</v>
      </c>
      <c r="B207" t="s">
        <v>18</v>
      </c>
      <c r="C207">
        <v>84</v>
      </c>
      <c r="D207" t="s">
        <v>13</v>
      </c>
      <c r="E207" s="32">
        <v>45027</v>
      </c>
      <c r="F207">
        <v>38</v>
      </c>
      <c r="G207">
        <v>3.3</v>
      </c>
      <c r="H207">
        <v>2023</v>
      </c>
      <c r="I207" t="s">
        <v>1067</v>
      </c>
      <c r="J207" t="s">
        <v>1087</v>
      </c>
      <c r="K207">
        <v>3</v>
      </c>
      <c r="L207" t="s">
        <v>1052</v>
      </c>
      <c r="M207">
        <v>4</v>
      </c>
    </row>
    <row r="208" spans="1:13" x14ac:dyDescent="0.3">
      <c r="A208" t="s">
        <v>371</v>
      </c>
      <c r="B208" t="s">
        <v>16</v>
      </c>
      <c r="C208">
        <v>159</v>
      </c>
      <c r="D208" t="s">
        <v>13</v>
      </c>
      <c r="E208" s="32">
        <v>45027</v>
      </c>
      <c r="F208">
        <v>42</v>
      </c>
      <c r="G208">
        <v>4.5</v>
      </c>
      <c r="H208">
        <v>2023</v>
      </c>
      <c r="I208" t="s">
        <v>1067</v>
      </c>
      <c r="J208" t="s">
        <v>1089</v>
      </c>
      <c r="K208">
        <v>5</v>
      </c>
      <c r="L208" t="s">
        <v>1052</v>
      </c>
      <c r="M208">
        <v>4</v>
      </c>
    </row>
    <row r="209" spans="1:13" x14ac:dyDescent="0.3">
      <c r="A209" t="s">
        <v>372</v>
      </c>
      <c r="B209" t="s">
        <v>15</v>
      </c>
      <c r="C209">
        <v>25</v>
      </c>
      <c r="D209" t="s">
        <v>10</v>
      </c>
      <c r="E209" s="32">
        <v>45027</v>
      </c>
      <c r="F209">
        <v>75</v>
      </c>
      <c r="G209">
        <v>3.9</v>
      </c>
      <c r="H209">
        <v>2023</v>
      </c>
      <c r="I209" t="s">
        <v>1067</v>
      </c>
      <c r="J209" t="s">
        <v>1091</v>
      </c>
      <c r="K209">
        <v>4</v>
      </c>
      <c r="L209" t="s">
        <v>1052</v>
      </c>
      <c r="M209">
        <v>4</v>
      </c>
    </row>
    <row r="210" spans="1:13" x14ac:dyDescent="0.3">
      <c r="A210" t="s">
        <v>373</v>
      </c>
      <c r="B210" t="s">
        <v>16</v>
      </c>
      <c r="C210">
        <v>53</v>
      </c>
      <c r="D210" t="s">
        <v>6</v>
      </c>
      <c r="E210" s="32">
        <v>45028</v>
      </c>
      <c r="F210">
        <v>23</v>
      </c>
      <c r="G210">
        <v>4.9000000000000004</v>
      </c>
      <c r="H210">
        <v>2023</v>
      </c>
      <c r="I210" t="s">
        <v>1068</v>
      </c>
      <c r="J210" t="s">
        <v>1088</v>
      </c>
      <c r="K210">
        <v>5</v>
      </c>
      <c r="L210" t="s">
        <v>1052</v>
      </c>
      <c r="M210">
        <v>4</v>
      </c>
    </row>
    <row r="211" spans="1:13" x14ac:dyDescent="0.3">
      <c r="A211" t="s">
        <v>374</v>
      </c>
      <c r="B211" t="s">
        <v>16</v>
      </c>
      <c r="C211">
        <v>89</v>
      </c>
      <c r="D211" t="s">
        <v>10</v>
      </c>
      <c r="E211" s="32">
        <v>45028</v>
      </c>
      <c r="F211">
        <v>200</v>
      </c>
      <c r="G211">
        <v>4.8</v>
      </c>
      <c r="H211">
        <v>2023</v>
      </c>
      <c r="I211" t="s">
        <v>1068</v>
      </c>
      <c r="J211" t="s">
        <v>1087</v>
      </c>
      <c r="K211">
        <v>5</v>
      </c>
      <c r="L211" t="s">
        <v>1052</v>
      </c>
      <c r="M211">
        <v>4</v>
      </c>
    </row>
    <row r="212" spans="1:13" x14ac:dyDescent="0.3">
      <c r="A212" t="s">
        <v>375</v>
      </c>
      <c r="B212" t="s">
        <v>21</v>
      </c>
      <c r="C212">
        <v>73</v>
      </c>
      <c r="D212" t="s">
        <v>9</v>
      </c>
      <c r="E212" s="32">
        <v>45029</v>
      </c>
      <c r="F212">
        <v>45</v>
      </c>
      <c r="G212">
        <v>3.6</v>
      </c>
      <c r="H212">
        <v>2023</v>
      </c>
      <c r="I212" t="s">
        <v>1066</v>
      </c>
      <c r="J212" t="s">
        <v>1087</v>
      </c>
      <c r="K212">
        <v>4</v>
      </c>
      <c r="L212" t="s">
        <v>1052</v>
      </c>
      <c r="M212">
        <v>4</v>
      </c>
    </row>
    <row r="213" spans="1:13" x14ac:dyDescent="0.3">
      <c r="A213" t="s">
        <v>376</v>
      </c>
      <c r="B213" t="s">
        <v>19</v>
      </c>
      <c r="C213">
        <v>50</v>
      </c>
      <c r="D213" t="s">
        <v>9</v>
      </c>
      <c r="E213" s="32">
        <v>45029</v>
      </c>
      <c r="F213">
        <v>105</v>
      </c>
      <c r="G213">
        <v>3.5</v>
      </c>
      <c r="H213">
        <v>2023</v>
      </c>
      <c r="I213" t="s">
        <v>1066</v>
      </c>
      <c r="J213" t="s">
        <v>1088</v>
      </c>
      <c r="K213">
        <v>4</v>
      </c>
      <c r="L213" t="s">
        <v>1052</v>
      </c>
      <c r="M213">
        <v>4</v>
      </c>
    </row>
    <row r="214" spans="1:13" x14ac:dyDescent="0.3">
      <c r="A214" t="s">
        <v>377</v>
      </c>
      <c r="B214" t="s">
        <v>8</v>
      </c>
      <c r="C214">
        <v>98</v>
      </c>
      <c r="D214" t="s">
        <v>9</v>
      </c>
      <c r="E214" s="32">
        <v>45029</v>
      </c>
      <c r="F214">
        <v>22</v>
      </c>
      <c r="G214">
        <v>3.8</v>
      </c>
      <c r="H214">
        <v>2023</v>
      </c>
      <c r="I214" t="s">
        <v>1066</v>
      </c>
      <c r="J214" t="s">
        <v>1087</v>
      </c>
      <c r="K214">
        <v>4</v>
      </c>
      <c r="L214" t="s">
        <v>1052</v>
      </c>
      <c r="M214">
        <v>4</v>
      </c>
    </row>
    <row r="215" spans="1:13" x14ac:dyDescent="0.3">
      <c r="A215" t="s">
        <v>378</v>
      </c>
      <c r="B215" t="s">
        <v>14</v>
      </c>
      <c r="C215">
        <v>114</v>
      </c>
      <c r="D215" t="s">
        <v>13</v>
      </c>
      <c r="E215" s="32">
        <v>45030</v>
      </c>
      <c r="F215">
        <v>126</v>
      </c>
      <c r="G215">
        <v>4.4000000000000004</v>
      </c>
      <c r="H215">
        <v>2023</v>
      </c>
      <c r="I215" t="s">
        <v>1062</v>
      </c>
      <c r="J215" t="s">
        <v>1087</v>
      </c>
      <c r="K215">
        <v>4</v>
      </c>
      <c r="L215" t="s">
        <v>1052</v>
      </c>
      <c r="M215">
        <v>4</v>
      </c>
    </row>
    <row r="216" spans="1:13" x14ac:dyDescent="0.3">
      <c r="A216" t="s">
        <v>381</v>
      </c>
      <c r="B216" t="s">
        <v>5</v>
      </c>
      <c r="C216">
        <v>67</v>
      </c>
      <c r="D216" t="s">
        <v>9</v>
      </c>
      <c r="E216" s="32">
        <v>45031</v>
      </c>
      <c r="F216">
        <v>172</v>
      </c>
      <c r="G216">
        <v>4.5</v>
      </c>
      <c r="H216">
        <v>2023</v>
      </c>
      <c r="I216" t="s">
        <v>1064</v>
      </c>
      <c r="J216" t="s">
        <v>1087</v>
      </c>
      <c r="K216">
        <v>5</v>
      </c>
      <c r="L216" t="s">
        <v>1052</v>
      </c>
      <c r="M216">
        <v>4</v>
      </c>
    </row>
    <row r="217" spans="1:13" x14ac:dyDescent="0.3">
      <c r="A217" t="s">
        <v>382</v>
      </c>
      <c r="B217" t="s">
        <v>14</v>
      </c>
      <c r="C217">
        <v>139</v>
      </c>
      <c r="D217" t="s">
        <v>10</v>
      </c>
      <c r="E217" s="32">
        <v>45031</v>
      </c>
      <c r="F217">
        <v>114</v>
      </c>
      <c r="G217">
        <v>4</v>
      </c>
      <c r="H217">
        <v>2023</v>
      </c>
      <c r="I217" t="s">
        <v>1064</v>
      </c>
      <c r="J217" t="s">
        <v>1089</v>
      </c>
      <c r="K217">
        <v>4</v>
      </c>
      <c r="L217" t="s">
        <v>1052</v>
      </c>
      <c r="M217">
        <v>4</v>
      </c>
    </row>
    <row r="218" spans="1:13" x14ac:dyDescent="0.3">
      <c r="A218" t="s">
        <v>383</v>
      </c>
      <c r="B218" t="s">
        <v>5</v>
      </c>
      <c r="C218">
        <v>102</v>
      </c>
      <c r="D218" t="s">
        <v>10</v>
      </c>
      <c r="E218" s="32">
        <v>45031</v>
      </c>
      <c r="F218">
        <v>60</v>
      </c>
      <c r="G218">
        <v>3.8</v>
      </c>
      <c r="H218">
        <v>2023</v>
      </c>
      <c r="I218" t="s">
        <v>1064</v>
      </c>
      <c r="J218" t="s">
        <v>1087</v>
      </c>
      <c r="K218">
        <v>4</v>
      </c>
      <c r="L218" t="s">
        <v>1052</v>
      </c>
      <c r="M218">
        <v>4</v>
      </c>
    </row>
    <row r="219" spans="1:13" x14ac:dyDescent="0.3">
      <c r="A219" t="s">
        <v>385</v>
      </c>
      <c r="B219" t="s">
        <v>15</v>
      </c>
      <c r="C219">
        <v>66</v>
      </c>
      <c r="D219" t="s">
        <v>9</v>
      </c>
      <c r="E219" s="32">
        <v>45031</v>
      </c>
      <c r="F219">
        <v>210</v>
      </c>
      <c r="G219">
        <v>4.3</v>
      </c>
      <c r="H219">
        <v>2023</v>
      </c>
      <c r="I219" t="s">
        <v>1064</v>
      </c>
      <c r="J219" t="s">
        <v>1087</v>
      </c>
      <c r="K219">
        <v>4</v>
      </c>
      <c r="L219" t="s">
        <v>1052</v>
      </c>
      <c r="M219">
        <v>4</v>
      </c>
    </row>
    <row r="220" spans="1:13" x14ac:dyDescent="0.3">
      <c r="A220" t="s">
        <v>386</v>
      </c>
      <c r="B220" t="s">
        <v>22</v>
      </c>
      <c r="C220">
        <v>85</v>
      </c>
      <c r="D220" t="s">
        <v>10</v>
      </c>
      <c r="E220" s="32">
        <v>45031</v>
      </c>
      <c r="F220">
        <v>129</v>
      </c>
      <c r="G220">
        <v>4.2</v>
      </c>
      <c r="H220">
        <v>2023</v>
      </c>
      <c r="I220" t="s">
        <v>1064</v>
      </c>
      <c r="J220" t="s">
        <v>1087</v>
      </c>
      <c r="K220">
        <v>4</v>
      </c>
      <c r="L220" t="s">
        <v>1052</v>
      </c>
      <c r="M220">
        <v>4</v>
      </c>
    </row>
    <row r="221" spans="1:13" x14ac:dyDescent="0.3">
      <c r="A221" t="s">
        <v>390</v>
      </c>
      <c r="B221" t="s">
        <v>19</v>
      </c>
      <c r="C221">
        <v>45</v>
      </c>
      <c r="D221" t="s">
        <v>11</v>
      </c>
      <c r="E221" s="32">
        <v>45032</v>
      </c>
      <c r="F221">
        <v>156</v>
      </c>
      <c r="G221">
        <v>2.7</v>
      </c>
      <c r="H221">
        <v>2023</v>
      </c>
      <c r="I221" t="s">
        <v>1065</v>
      </c>
      <c r="J221" t="s">
        <v>1088</v>
      </c>
      <c r="K221">
        <v>3</v>
      </c>
      <c r="L221" t="s">
        <v>1052</v>
      </c>
      <c r="M221">
        <v>4</v>
      </c>
    </row>
    <row r="222" spans="1:13" x14ac:dyDescent="0.3">
      <c r="A222" t="s">
        <v>394</v>
      </c>
      <c r="B222" t="s">
        <v>16</v>
      </c>
      <c r="C222">
        <v>133</v>
      </c>
      <c r="D222" t="s">
        <v>11</v>
      </c>
      <c r="E222" s="32">
        <v>45032</v>
      </c>
      <c r="F222">
        <v>100</v>
      </c>
      <c r="G222">
        <v>4</v>
      </c>
      <c r="H222">
        <v>2023</v>
      </c>
      <c r="I222" t="s">
        <v>1065</v>
      </c>
      <c r="J222" t="s">
        <v>1089</v>
      </c>
      <c r="K222">
        <v>4</v>
      </c>
      <c r="L222" t="s">
        <v>1052</v>
      </c>
      <c r="M222">
        <v>4</v>
      </c>
    </row>
    <row r="223" spans="1:13" x14ac:dyDescent="0.3">
      <c r="A223" t="s">
        <v>396</v>
      </c>
      <c r="B223" t="s">
        <v>14</v>
      </c>
      <c r="C223">
        <v>69</v>
      </c>
      <c r="D223" t="s">
        <v>11</v>
      </c>
      <c r="E223" s="32">
        <v>45032</v>
      </c>
      <c r="F223">
        <v>130</v>
      </c>
      <c r="G223">
        <v>1.9</v>
      </c>
      <c r="H223">
        <v>2023</v>
      </c>
      <c r="I223" t="s">
        <v>1065</v>
      </c>
      <c r="J223" t="s">
        <v>1087</v>
      </c>
      <c r="K223">
        <v>2</v>
      </c>
      <c r="L223" t="s">
        <v>1052</v>
      </c>
      <c r="M223">
        <v>4</v>
      </c>
    </row>
    <row r="224" spans="1:13" x14ac:dyDescent="0.3">
      <c r="A224" t="s">
        <v>397</v>
      </c>
      <c r="B224" t="s">
        <v>18</v>
      </c>
      <c r="C224">
        <v>110</v>
      </c>
      <c r="D224" t="s">
        <v>13</v>
      </c>
      <c r="E224" s="32">
        <v>45033</v>
      </c>
      <c r="F224">
        <v>21</v>
      </c>
      <c r="G224">
        <v>2.6</v>
      </c>
      <c r="H224">
        <v>2023</v>
      </c>
      <c r="I224" t="s">
        <v>1063</v>
      </c>
      <c r="J224" t="s">
        <v>1087</v>
      </c>
      <c r="K224">
        <v>3</v>
      </c>
      <c r="L224" t="s">
        <v>1052</v>
      </c>
      <c r="M224">
        <v>4</v>
      </c>
    </row>
    <row r="225" spans="1:13" x14ac:dyDescent="0.3">
      <c r="A225" t="s">
        <v>398</v>
      </c>
      <c r="B225" t="s">
        <v>5</v>
      </c>
      <c r="C225">
        <v>64</v>
      </c>
      <c r="D225" t="s">
        <v>10</v>
      </c>
      <c r="E225" s="32">
        <v>45033</v>
      </c>
      <c r="F225">
        <v>88</v>
      </c>
      <c r="G225">
        <v>4.3</v>
      </c>
      <c r="H225">
        <v>2023</v>
      </c>
      <c r="I225" t="s">
        <v>1063</v>
      </c>
      <c r="J225" t="s">
        <v>1087</v>
      </c>
      <c r="K225">
        <v>4</v>
      </c>
      <c r="L225" t="s">
        <v>1052</v>
      </c>
      <c r="M225">
        <v>4</v>
      </c>
    </row>
    <row r="226" spans="1:13" x14ac:dyDescent="0.3">
      <c r="A226" t="s">
        <v>400</v>
      </c>
      <c r="B226" t="s">
        <v>5</v>
      </c>
      <c r="C226">
        <v>165</v>
      </c>
      <c r="D226" t="s">
        <v>9</v>
      </c>
      <c r="E226" s="32">
        <v>45033</v>
      </c>
      <c r="F226">
        <v>68</v>
      </c>
      <c r="G226">
        <v>4.3</v>
      </c>
      <c r="H226">
        <v>2023</v>
      </c>
      <c r="I226" t="s">
        <v>1063</v>
      </c>
      <c r="J226" t="s">
        <v>1089</v>
      </c>
      <c r="K226">
        <v>4</v>
      </c>
      <c r="L226" t="s">
        <v>1052</v>
      </c>
      <c r="M226">
        <v>4</v>
      </c>
    </row>
    <row r="227" spans="1:13" x14ac:dyDescent="0.3">
      <c r="A227" t="s">
        <v>401</v>
      </c>
      <c r="B227" t="s">
        <v>19</v>
      </c>
      <c r="C227">
        <v>125</v>
      </c>
      <c r="D227" t="s">
        <v>9</v>
      </c>
      <c r="E227" s="32">
        <v>45033</v>
      </c>
      <c r="F227">
        <v>148</v>
      </c>
      <c r="G227">
        <v>4.5</v>
      </c>
      <c r="H227">
        <v>2023</v>
      </c>
      <c r="I227" t="s">
        <v>1063</v>
      </c>
      <c r="J227" t="s">
        <v>1089</v>
      </c>
      <c r="K227">
        <v>5</v>
      </c>
      <c r="L227" t="s">
        <v>1052</v>
      </c>
      <c r="M227">
        <v>4</v>
      </c>
    </row>
    <row r="228" spans="1:13" x14ac:dyDescent="0.3">
      <c r="A228" t="s">
        <v>403</v>
      </c>
      <c r="B228" t="s">
        <v>14</v>
      </c>
      <c r="C228">
        <v>6</v>
      </c>
      <c r="D228" t="s">
        <v>10</v>
      </c>
      <c r="E228" s="32">
        <v>45034</v>
      </c>
      <c r="F228">
        <v>75</v>
      </c>
      <c r="G228">
        <v>3.9</v>
      </c>
      <c r="H228">
        <v>2023</v>
      </c>
      <c r="I228" t="s">
        <v>1067</v>
      </c>
      <c r="J228" t="s">
        <v>1090</v>
      </c>
      <c r="K228">
        <v>4</v>
      </c>
      <c r="L228" t="s">
        <v>1052</v>
      </c>
      <c r="M228">
        <v>4</v>
      </c>
    </row>
    <row r="229" spans="1:13" x14ac:dyDescent="0.3">
      <c r="A229" t="s">
        <v>404</v>
      </c>
      <c r="B229" t="s">
        <v>22</v>
      </c>
      <c r="C229">
        <v>69</v>
      </c>
      <c r="D229" t="s">
        <v>11</v>
      </c>
      <c r="E229" s="32">
        <v>45035</v>
      </c>
      <c r="F229">
        <v>32</v>
      </c>
      <c r="G229">
        <v>3.6</v>
      </c>
      <c r="H229">
        <v>2023</v>
      </c>
      <c r="I229" t="s">
        <v>1068</v>
      </c>
      <c r="J229" t="s">
        <v>1087</v>
      </c>
      <c r="K229">
        <v>4</v>
      </c>
      <c r="L229" t="s">
        <v>1052</v>
      </c>
      <c r="M229">
        <v>4</v>
      </c>
    </row>
    <row r="230" spans="1:13" x14ac:dyDescent="0.3">
      <c r="A230" t="s">
        <v>408</v>
      </c>
      <c r="B230" t="s">
        <v>8</v>
      </c>
      <c r="C230">
        <v>47</v>
      </c>
      <c r="D230" t="s">
        <v>11</v>
      </c>
      <c r="E230" s="32">
        <v>45035</v>
      </c>
      <c r="F230">
        <v>84</v>
      </c>
      <c r="G230">
        <v>4.0999999999999996</v>
      </c>
      <c r="H230">
        <v>2023</v>
      </c>
      <c r="I230" t="s">
        <v>1068</v>
      </c>
      <c r="J230" t="s">
        <v>1088</v>
      </c>
      <c r="K230">
        <v>4</v>
      </c>
      <c r="L230" t="s">
        <v>1052</v>
      </c>
      <c r="M230">
        <v>4</v>
      </c>
    </row>
    <row r="231" spans="1:13" x14ac:dyDescent="0.3">
      <c r="A231" t="s">
        <v>409</v>
      </c>
      <c r="B231" t="s">
        <v>21</v>
      </c>
      <c r="C231">
        <v>60</v>
      </c>
      <c r="D231" t="s">
        <v>6</v>
      </c>
      <c r="E231" s="32">
        <v>45035</v>
      </c>
      <c r="F231">
        <v>84</v>
      </c>
      <c r="G231">
        <v>4.8</v>
      </c>
      <c r="H231">
        <v>2023</v>
      </c>
      <c r="I231" t="s">
        <v>1068</v>
      </c>
      <c r="J231" t="s">
        <v>1088</v>
      </c>
      <c r="K231">
        <v>5</v>
      </c>
      <c r="L231" t="s">
        <v>1052</v>
      </c>
      <c r="M231">
        <v>4</v>
      </c>
    </row>
    <row r="232" spans="1:13" x14ac:dyDescent="0.3">
      <c r="A232" t="s">
        <v>411</v>
      </c>
      <c r="B232" t="s">
        <v>5</v>
      </c>
      <c r="C232">
        <v>62</v>
      </c>
      <c r="D232" t="s">
        <v>11</v>
      </c>
      <c r="E232" s="32">
        <v>45035</v>
      </c>
      <c r="F232">
        <v>35</v>
      </c>
      <c r="G232">
        <v>4.4000000000000004</v>
      </c>
      <c r="H232">
        <v>2023</v>
      </c>
      <c r="I232" t="s">
        <v>1068</v>
      </c>
      <c r="J232" t="s">
        <v>1087</v>
      </c>
      <c r="K232">
        <v>4</v>
      </c>
      <c r="L232" t="s">
        <v>1052</v>
      </c>
      <c r="M232">
        <v>4</v>
      </c>
    </row>
    <row r="233" spans="1:13" x14ac:dyDescent="0.3">
      <c r="A233" t="s">
        <v>412</v>
      </c>
      <c r="B233" t="s">
        <v>18</v>
      </c>
      <c r="C233">
        <v>88</v>
      </c>
      <c r="D233" t="s">
        <v>11</v>
      </c>
      <c r="E233" s="32">
        <v>45036</v>
      </c>
      <c r="F233">
        <v>35</v>
      </c>
      <c r="G233">
        <v>3.8</v>
      </c>
      <c r="H233">
        <v>2023</v>
      </c>
      <c r="I233" t="s">
        <v>1066</v>
      </c>
      <c r="J233" t="s">
        <v>1087</v>
      </c>
      <c r="K233">
        <v>4</v>
      </c>
      <c r="L233" t="s">
        <v>1052</v>
      </c>
      <c r="M233">
        <v>4</v>
      </c>
    </row>
    <row r="234" spans="1:13" x14ac:dyDescent="0.3">
      <c r="A234" t="s">
        <v>413</v>
      </c>
      <c r="B234" t="s">
        <v>19</v>
      </c>
      <c r="C234">
        <v>116</v>
      </c>
      <c r="D234" t="s">
        <v>11</v>
      </c>
      <c r="E234" s="32">
        <v>45036</v>
      </c>
      <c r="F234">
        <v>132</v>
      </c>
      <c r="G234">
        <v>5</v>
      </c>
      <c r="H234">
        <v>2023</v>
      </c>
      <c r="I234" t="s">
        <v>1066</v>
      </c>
      <c r="J234" t="s">
        <v>1087</v>
      </c>
      <c r="K234">
        <v>5</v>
      </c>
      <c r="L234" t="s">
        <v>1052</v>
      </c>
      <c r="M234">
        <v>4</v>
      </c>
    </row>
    <row r="235" spans="1:13" x14ac:dyDescent="0.3">
      <c r="A235" t="s">
        <v>415</v>
      </c>
      <c r="B235" t="s">
        <v>5</v>
      </c>
      <c r="C235">
        <v>99</v>
      </c>
      <c r="D235" t="s">
        <v>9</v>
      </c>
      <c r="E235" s="32">
        <v>45037</v>
      </c>
      <c r="F235">
        <v>48</v>
      </c>
      <c r="G235">
        <v>5</v>
      </c>
      <c r="H235">
        <v>2023</v>
      </c>
      <c r="I235" t="s">
        <v>1062</v>
      </c>
      <c r="J235" t="s">
        <v>1087</v>
      </c>
      <c r="K235">
        <v>5</v>
      </c>
      <c r="L235" t="s">
        <v>1052</v>
      </c>
      <c r="M235">
        <v>4</v>
      </c>
    </row>
    <row r="236" spans="1:13" x14ac:dyDescent="0.3">
      <c r="A236" t="s">
        <v>416</v>
      </c>
      <c r="B236" t="s">
        <v>5</v>
      </c>
      <c r="C236">
        <v>55</v>
      </c>
      <c r="D236" t="s">
        <v>10</v>
      </c>
      <c r="E236" s="32">
        <v>45037</v>
      </c>
      <c r="F236">
        <v>200</v>
      </c>
      <c r="G236">
        <v>2.2999999999999998</v>
      </c>
      <c r="H236">
        <v>2023</v>
      </c>
      <c r="I236" t="s">
        <v>1062</v>
      </c>
      <c r="J236" t="s">
        <v>1088</v>
      </c>
      <c r="K236">
        <v>2</v>
      </c>
      <c r="L236" t="s">
        <v>1052</v>
      </c>
      <c r="M236">
        <v>4</v>
      </c>
    </row>
    <row r="237" spans="1:13" x14ac:dyDescent="0.3">
      <c r="A237" t="s">
        <v>418</v>
      </c>
      <c r="B237" t="s">
        <v>19</v>
      </c>
      <c r="C237">
        <v>36</v>
      </c>
      <c r="D237" t="s">
        <v>13</v>
      </c>
      <c r="E237" s="32">
        <v>45037</v>
      </c>
      <c r="F237">
        <v>81</v>
      </c>
      <c r="G237">
        <v>3.7</v>
      </c>
      <c r="H237">
        <v>2023</v>
      </c>
      <c r="I237" t="s">
        <v>1062</v>
      </c>
      <c r="J237" t="s">
        <v>1088</v>
      </c>
      <c r="K237">
        <v>4</v>
      </c>
      <c r="L237" t="s">
        <v>1052</v>
      </c>
      <c r="M237">
        <v>4</v>
      </c>
    </row>
    <row r="238" spans="1:13" x14ac:dyDescent="0.3">
      <c r="A238" t="s">
        <v>422</v>
      </c>
      <c r="B238" t="s">
        <v>21</v>
      </c>
      <c r="C238">
        <v>95</v>
      </c>
      <c r="D238" t="s">
        <v>9</v>
      </c>
      <c r="E238" s="32">
        <v>45038</v>
      </c>
      <c r="F238">
        <v>21</v>
      </c>
      <c r="G238">
        <v>3.9</v>
      </c>
      <c r="H238">
        <v>2023</v>
      </c>
      <c r="I238" t="s">
        <v>1064</v>
      </c>
      <c r="J238" t="s">
        <v>1087</v>
      </c>
      <c r="K238">
        <v>4</v>
      </c>
      <c r="L238" t="s">
        <v>1052</v>
      </c>
      <c r="M238">
        <v>4</v>
      </c>
    </row>
    <row r="239" spans="1:13" x14ac:dyDescent="0.3">
      <c r="A239" t="s">
        <v>423</v>
      </c>
      <c r="B239" t="s">
        <v>5</v>
      </c>
      <c r="C239">
        <v>53</v>
      </c>
      <c r="D239" t="s">
        <v>11</v>
      </c>
      <c r="E239" s="32">
        <v>45038</v>
      </c>
      <c r="F239">
        <v>110</v>
      </c>
      <c r="G239">
        <v>4.3</v>
      </c>
      <c r="H239">
        <v>2023</v>
      </c>
      <c r="I239" t="s">
        <v>1064</v>
      </c>
      <c r="J239" t="s">
        <v>1088</v>
      </c>
      <c r="K239">
        <v>4</v>
      </c>
      <c r="L239" t="s">
        <v>1052</v>
      </c>
      <c r="M239">
        <v>4</v>
      </c>
    </row>
    <row r="240" spans="1:13" x14ac:dyDescent="0.3">
      <c r="A240" t="s">
        <v>425</v>
      </c>
      <c r="B240" t="s">
        <v>5</v>
      </c>
      <c r="C240">
        <v>89</v>
      </c>
      <c r="D240" t="s">
        <v>13</v>
      </c>
      <c r="E240" s="32">
        <v>45038</v>
      </c>
      <c r="F240">
        <v>129</v>
      </c>
      <c r="G240">
        <v>4</v>
      </c>
      <c r="H240">
        <v>2023</v>
      </c>
      <c r="I240" t="s">
        <v>1064</v>
      </c>
      <c r="J240" t="s">
        <v>1087</v>
      </c>
      <c r="K240">
        <v>4</v>
      </c>
      <c r="L240" t="s">
        <v>1052</v>
      </c>
      <c r="M240">
        <v>4</v>
      </c>
    </row>
    <row r="241" spans="1:13" x14ac:dyDescent="0.3">
      <c r="A241" t="s">
        <v>426</v>
      </c>
      <c r="B241" t="s">
        <v>18</v>
      </c>
      <c r="C241">
        <v>84</v>
      </c>
      <c r="D241" t="s">
        <v>10</v>
      </c>
      <c r="E241" s="32">
        <v>45038</v>
      </c>
      <c r="F241">
        <v>156</v>
      </c>
      <c r="G241">
        <v>3.2</v>
      </c>
      <c r="H241">
        <v>2023</v>
      </c>
      <c r="I241" t="s">
        <v>1064</v>
      </c>
      <c r="J241" t="s">
        <v>1087</v>
      </c>
      <c r="K241">
        <v>3</v>
      </c>
      <c r="L241" t="s">
        <v>1052</v>
      </c>
      <c r="M241">
        <v>4</v>
      </c>
    </row>
    <row r="242" spans="1:13" x14ac:dyDescent="0.3">
      <c r="A242" t="s">
        <v>428</v>
      </c>
      <c r="B242" t="s">
        <v>21</v>
      </c>
      <c r="C242">
        <v>163</v>
      </c>
      <c r="D242" t="s">
        <v>13</v>
      </c>
      <c r="E242" s="32">
        <v>45039</v>
      </c>
      <c r="F242">
        <v>62</v>
      </c>
      <c r="G242">
        <v>3.4</v>
      </c>
      <c r="H242">
        <v>2023</v>
      </c>
      <c r="I242" t="s">
        <v>1065</v>
      </c>
      <c r="J242" t="s">
        <v>1089</v>
      </c>
      <c r="K242">
        <v>3</v>
      </c>
      <c r="L242" t="s">
        <v>1052</v>
      </c>
      <c r="M242">
        <v>4</v>
      </c>
    </row>
    <row r="243" spans="1:13" x14ac:dyDescent="0.3">
      <c r="A243" t="s">
        <v>429</v>
      </c>
      <c r="B243" t="s">
        <v>22</v>
      </c>
      <c r="C243">
        <v>127</v>
      </c>
      <c r="D243" t="s">
        <v>11</v>
      </c>
      <c r="E243" s="32">
        <v>45039</v>
      </c>
      <c r="F243">
        <v>160</v>
      </c>
      <c r="G243">
        <v>3.2</v>
      </c>
      <c r="H243">
        <v>2023</v>
      </c>
      <c r="I243" t="s">
        <v>1065</v>
      </c>
      <c r="J243" t="s">
        <v>1089</v>
      </c>
      <c r="K243">
        <v>3</v>
      </c>
      <c r="L243" t="s">
        <v>1052</v>
      </c>
      <c r="M243">
        <v>4</v>
      </c>
    </row>
    <row r="244" spans="1:13" x14ac:dyDescent="0.3">
      <c r="A244" t="s">
        <v>431</v>
      </c>
      <c r="B244" t="s">
        <v>15</v>
      </c>
      <c r="C244">
        <v>88</v>
      </c>
      <c r="D244" t="s">
        <v>6</v>
      </c>
      <c r="E244" s="32">
        <v>45039</v>
      </c>
      <c r="F244">
        <v>72</v>
      </c>
      <c r="G244">
        <v>4</v>
      </c>
      <c r="H244">
        <v>2023</v>
      </c>
      <c r="I244" t="s">
        <v>1065</v>
      </c>
      <c r="J244" t="s">
        <v>1087</v>
      </c>
      <c r="K244">
        <v>4</v>
      </c>
      <c r="L244" t="s">
        <v>1052</v>
      </c>
      <c r="M244">
        <v>4</v>
      </c>
    </row>
    <row r="245" spans="1:13" x14ac:dyDescent="0.3">
      <c r="A245" t="s">
        <v>433</v>
      </c>
      <c r="B245" t="s">
        <v>21</v>
      </c>
      <c r="C245">
        <v>111</v>
      </c>
      <c r="D245" t="s">
        <v>11</v>
      </c>
      <c r="E245" s="32">
        <v>45040</v>
      </c>
      <c r="F245">
        <v>144</v>
      </c>
      <c r="G245">
        <v>3.9</v>
      </c>
      <c r="H245">
        <v>2023</v>
      </c>
      <c r="I245" t="s">
        <v>1063</v>
      </c>
      <c r="J245" t="s">
        <v>1087</v>
      </c>
      <c r="K245">
        <v>4</v>
      </c>
      <c r="L245" t="s">
        <v>1052</v>
      </c>
      <c r="M245">
        <v>4</v>
      </c>
    </row>
    <row r="246" spans="1:13" x14ac:dyDescent="0.3">
      <c r="A246" t="s">
        <v>435</v>
      </c>
      <c r="B246" t="s">
        <v>5</v>
      </c>
      <c r="C246">
        <v>26</v>
      </c>
      <c r="D246" t="s">
        <v>13</v>
      </c>
      <c r="E246" s="32">
        <v>45040</v>
      </c>
      <c r="F246">
        <v>43</v>
      </c>
      <c r="G246">
        <v>4.2</v>
      </c>
      <c r="H246">
        <v>2023</v>
      </c>
      <c r="I246" t="s">
        <v>1063</v>
      </c>
      <c r="J246" t="s">
        <v>1091</v>
      </c>
      <c r="K246">
        <v>4</v>
      </c>
      <c r="L246" t="s">
        <v>1052</v>
      </c>
      <c r="M246">
        <v>4</v>
      </c>
    </row>
    <row r="247" spans="1:13" x14ac:dyDescent="0.3">
      <c r="A247" t="s">
        <v>436</v>
      </c>
      <c r="B247" t="s">
        <v>18</v>
      </c>
      <c r="C247">
        <v>131</v>
      </c>
      <c r="D247" t="s">
        <v>6</v>
      </c>
      <c r="E247" s="32">
        <v>45040</v>
      </c>
      <c r="F247">
        <v>41</v>
      </c>
      <c r="G247">
        <v>4.9000000000000004</v>
      </c>
      <c r="H247">
        <v>2023</v>
      </c>
      <c r="I247" t="s">
        <v>1063</v>
      </c>
      <c r="J247" t="s">
        <v>1089</v>
      </c>
      <c r="K247">
        <v>5</v>
      </c>
      <c r="L247" t="s">
        <v>1052</v>
      </c>
      <c r="M247">
        <v>4</v>
      </c>
    </row>
    <row r="248" spans="1:13" x14ac:dyDescent="0.3">
      <c r="A248" t="s">
        <v>438</v>
      </c>
      <c r="B248" t="s">
        <v>16</v>
      </c>
      <c r="C248">
        <v>75</v>
      </c>
      <c r="D248" t="s">
        <v>11</v>
      </c>
      <c r="E248" s="32">
        <v>45040</v>
      </c>
      <c r="F248">
        <v>43</v>
      </c>
      <c r="G248">
        <v>4.9000000000000004</v>
      </c>
      <c r="H248">
        <v>2023</v>
      </c>
      <c r="I248" t="s">
        <v>1063</v>
      </c>
      <c r="J248" t="s">
        <v>1087</v>
      </c>
      <c r="K248">
        <v>5</v>
      </c>
      <c r="L248" t="s">
        <v>1052</v>
      </c>
      <c r="M248">
        <v>4</v>
      </c>
    </row>
    <row r="249" spans="1:13" x14ac:dyDescent="0.3">
      <c r="A249" t="s">
        <v>441</v>
      </c>
      <c r="B249" t="s">
        <v>16</v>
      </c>
      <c r="C249">
        <v>124</v>
      </c>
      <c r="D249" t="s">
        <v>9</v>
      </c>
      <c r="E249" s="32">
        <v>45041</v>
      </c>
      <c r="F249">
        <v>132</v>
      </c>
      <c r="G249">
        <v>4.9000000000000004</v>
      </c>
      <c r="H249">
        <v>2023</v>
      </c>
      <c r="I249" t="s">
        <v>1067</v>
      </c>
      <c r="J249" t="s">
        <v>1089</v>
      </c>
      <c r="K249">
        <v>5</v>
      </c>
      <c r="L249" t="s">
        <v>1052</v>
      </c>
      <c r="M249">
        <v>4</v>
      </c>
    </row>
    <row r="250" spans="1:13" x14ac:dyDescent="0.3">
      <c r="A250" t="s">
        <v>443</v>
      </c>
      <c r="B250" t="s">
        <v>8</v>
      </c>
      <c r="C250">
        <v>15</v>
      </c>
      <c r="D250" t="s">
        <v>9</v>
      </c>
      <c r="E250" s="32">
        <v>45041</v>
      </c>
      <c r="F250">
        <v>31</v>
      </c>
      <c r="G250">
        <v>4.0999999999999996</v>
      </c>
      <c r="H250">
        <v>2023</v>
      </c>
      <c r="I250" t="s">
        <v>1067</v>
      </c>
      <c r="J250" t="s">
        <v>1091</v>
      </c>
      <c r="K250">
        <v>4</v>
      </c>
      <c r="L250" t="s">
        <v>1052</v>
      </c>
      <c r="M250">
        <v>4</v>
      </c>
    </row>
    <row r="251" spans="1:13" x14ac:dyDescent="0.3">
      <c r="A251" t="s">
        <v>445</v>
      </c>
      <c r="B251" t="s">
        <v>15</v>
      </c>
      <c r="C251">
        <v>126</v>
      </c>
      <c r="D251" t="s">
        <v>11</v>
      </c>
      <c r="E251" s="32">
        <v>45042</v>
      </c>
      <c r="F251">
        <v>175</v>
      </c>
      <c r="G251">
        <v>4.8</v>
      </c>
      <c r="H251">
        <v>2023</v>
      </c>
      <c r="I251" t="s">
        <v>1068</v>
      </c>
      <c r="J251" t="s">
        <v>1089</v>
      </c>
      <c r="K251">
        <v>5</v>
      </c>
      <c r="L251" t="s">
        <v>1052</v>
      </c>
      <c r="M251">
        <v>4</v>
      </c>
    </row>
    <row r="252" spans="1:13" x14ac:dyDescent="0.3">
      <c r="A252" t="s">
        <v>446</v>
      </c>
      <c r="B252" t="s">
        <v>16</v>
      </c>
      <c r="C252">
        <v>26</v>
      </c>
      <c r="D252" t="s">
        <v>10</v>
      </c>
      <c r="E252" s="32">
        <v>45042</v>
      </c>
      <c r="F252">
        <v>87</v>
      </c>
      <c r="G252">
        <v>4.7</v>
      </c>
      <c r="H252">
        <v>2023</v>
      </c>
      <c r="I252" t="s">
        <v>1068</v>
      </c>
      <c r="J252" t="s">
        <v>1091</v>
      </c>
      <c r="K252">
        <v>5</v>
      </c>
      <c r="L252" t="s">
        <v>1052</v>
      </c>
      <c r="M252">
        <v>4</v>
      </c>
    </row>
    <row r="253" spans="1:13" x14ac:dyDescent="0.3">
      <c r="A253" t="s">
        <v>451</v>
      </c>
      <c r="B253" t="s">
        <v>15</v>
      </c>
      <c r="C253">
        <v>101</v>
      </c>
      <c r="D253" t="s">
        <v>10</v>
      </c>
      <c r="E253" s="32">
        <v>45043</v>
      </c>
      <c r="F253">
        <v>225</v>
      </c>
      <c r="G253">
        <v>1.9</v>
      </c>
      <c r="H253">
        <v>2023</v>
      </c>
      <c r="I253" t="s">
        <v>1066</v>
      </c>
      <c r="J253" t="s">
        <v>1087</v>
      </c>
      <c r="K253">
        <v>2</v>
      </c>
      <c r="L253" t="s">
        <v>1052</v>
      </c>
      <c r="M253">
        <v>4</v>
      </c>
    </row>
    <row r="254" spans="1:13" x14ac:dyDescent="0.3">
      <c r="A254" t="s">
        <v>452</v>
      </c>
      <c r="B254" t="s">
        <v>21</v>
      </c>
      <c r="C254">
        <v>156</v>
      </c>
      <c r="D254" t="s">
        <v>10</v>
      </c>
      <c r="E254" s="32">
        <v>45043</v>
      </c>
      <c r="F254">
        <v>42</v>
      </c>
      <c r="G254">
        <v>3.3</v>
      </c>
      <c r="H254">
        <v>2023</v>
      </c>
      <c r="I254" t="s">
        <v>1066</v>
      </c>
      <c r="J254" t="s">
        <v>1089</v>
      </c>
      <c r="K254">
        <v>3</v>
      </c>
      <c r="L254" t="s">
        <v>1052</v>
      </c>
      <c r="M254">
        <v>4</v>
      </c>
    </row>
    <row r="255" spans="1:13" x14ac:dyDescent="0.3">
      <c r="A255" t="s">
        <v>456</v>
      </c>
      <c r="B255" t="s">
        <v>15</v>
      </c>
      <c r="C255">
        <v>81</v>
      </c>
      <c r="D255" t="s">
        <v>9</v>
      </c>
      <c r="E255" s="32">
        <v>45045</v>
      </c>
      <c r="F255">
        <v>78</v>
      </c>
      <c r="G255">
        <v>2.9</v>
      </c>
      <c r="H255">
        <v>2023</v>
      </c>
      <c r="I255" t="s">
        <v>1064</v>
      </c>
      <c r="J255" t="s">
        <v>1087</v>
      </c>
      <c r="K255">
        <v>3</v>
      </c>
      <c r="L255" t="s">
        <v>1052</v>
      </c>
      <c r="M255">
        <v>4</v>
      </c>
    </row>
    <row r="256" spans="1:13" x14ac:dyDescent="0.3">
      <c r="A256" t="s">
        <v>457</v>
      </c>
      <c r="B256" t="s">
        <v>15</v>
      </c>
      <c r="C256">
        <v>81</v>
      </c>
      <c r="D256" t="s">
        <v>13</v>
      </c>
      <c r="E256" s="32">
        <v>45045</v>
      </c>
      <c r="F256">
        <v>40</v>
      </c>
      <c r="G256">
        <v>2.4</v>
      </c>
      <c r="H256">
        <v>2023</v>
      </c>
      <c r="I256" t="s">
        <v>1064</v>
      </c>
      <c r="J256" t="s">
        <v>1087</v>
      </c>
      <c r="K256">
        <v>2</v>
      </c>
      <c r="L256" t="s">
        <v>1052</v>
      </c>
      <c r="M256">
        <v>4</v>
      </c>
    </row>
    <row r="257" spans="1:13" x14ac:dyDescent="0.3">
      <c r="A257" t="s">
        <v>458</v>
      </c>
      <c r="B257" t="s">
        <v>22</v>
      </c>
      <c r="C257">
        <v>93</v>
      </c>
      <c r="D257" t="s">
        <v>11</v>
      </c>
      <c r="E257" s="32">
        <v>45045</v>
      </c>
      <c r="F257">
        <v>150</v>
      </c>
      <c r="G257">
        <v>4.5999999999999996</v>
      </c>
      <c r="H257">
        <v>2023</v>
      </c>
      <c r="I257" t="s">
        <v>1064</v>
      </c>
      <c r="J257" t="s">
        <v>1087</v>
      </c>
      <c r="K257">
        <v>5</v>
      </c>
      <c r="L257" t="s">
        <v>1052</v>
      </c>
      <c r="M257">
        <v>4</v>
      </c>
    </row>
    <row r="258" spans="1:13" x14ac:dyDescent="0.3">
      <c r="A258" t="s">
        <v>461</v>
      </c>
      <c r="B258" t="s">
        <v>22</v>
      </c>
      <c r="C258">
        <v>81</v>
      </c>
      <c r="D258" t="s">
        <v>13</v>
      </c>
      <c r="E258" s="32">
        <v>45046</v>
      </c>
      <c r="F258">
        <v>60</v>
      </c>
      <c r="G258">
        <v>3.6</v>
      </c>
      <c r="H258">
        <v>2023</v>
      </c>
      <c r="I258" t="s">
        <v>1065</v>
      </c>
      <c r="J258" t="s">
        <v>1087</v>
      </c>
      <c r="K258">
        <v>4</v>
      </c>
      <c r="L258" t="s">
        <v>1052</v>
      </c>
      <c r="M258">
        <v>4</v>
      </c>
    </row>
    <row r="259" spans="1:13" x14ac:dyDescent="0.3">
      <c r="A259" t="s">
        <v>462</v>
      </c>
      <c r="B259" t="s">
        <v>5</v>
      </c>
      <c r="C259">
        <v>60</v>
      </c>
      <c r="D259" t="s">
        <v>9</v>
      </c>
      <c r="E259" s="32">
        <v>45047</v>
      </c>
      <c r="F259">
        <v>41</v>
      </c>
      <c r="G259">
        <v>4.8</v>
      </c>
      <c r="H259">
        <v>2023</v>
      </c>
      <c r="I259" t="s">
        <v>1063</v>
      </c>
      <c r="J259" t="s">
        <v>1088</v>
      </c>
      <c r="K259">
        <v>5</v>
      </c>
      <c r="L259" t="s">
        <v>1053</v>
      </c>
      <c r="M259">
        <v>5</v>
      </c>
    </row>
    <row r="260" spans="1:13" x14ac:dyDescent="0.3">
      <c r="A260" t="s">
        <v>463</v>
      </c>
      <c r="B260" t="s">
        <v>14</v>
      </c>
      <c r="C260">
        <v>137</v>
      </c>
      <c r="D260" t="s">
        <v>11</v>
      </c>
      <c r="E260" s="32">
        <v>45047</v>
      </c>
      <c r="F260">
        <v>20</v>
      </c>
      <c r="G260">
        <v>4.2</v>
      </c>
      <c r="H260">
        <v>2023</v>
      </c>
      <c r="I260" t="s">
        <v>1063</v>
      </c>
      <c r="J260" t="s">
        <v>1089</v>
      </c>
      <c r="K260">
        <v>4</v>
      </c>
      <c r="L260" t="s">
        <v>1053</v>
      </c>
      <c r="M260">
        <v>5</v>
      </c>
    </row>
    <row r="261" spans="1:13" x14ac:dyDescent="0.3">
      <c r="A261" t="s">
        <v>466</v>
      </c>
      <c r="B261" t="s">
        <v>19</v>
      </c>
      <c r="C261">
        <v>73</v>
      </c>
      <c r="D261" t="s">
        <v>9</v>
      </c>
      <c r="E261" s="32">
        <v>45047</v>
      </c>
      <c r="F261">
        <v>66</v>
      </c>
      <c r="G261">
        <v>4.8</v>
      </c>
      <c r="H261">
        <v>2023</v>
      </c>
      <c r="I261" t="s">
        <v>1063</v>
      </c>
      <c r="J261" t="s">
        <v>1087</v>
      </c>
      <c r="K261">
        <v>5</v>
      </c>
      <c r="L261" t="s">
        <v>1053</v>
      </c>
      <c r="M261">
        <v>5</v>
      </c>
    </row>
    <row r="262" spans="1:13" x14ac:dyDescent="0.3">
      <c r="A262" t="s">
        <v>467</v>
      </c>
      <c r="B262" t="s">
        <v>18</v>
      </c>
      <c r="C262">
        <v>119</v>
      </c>
      <c r="D262" t="s">
        <v>11</v>
      </c>
      <c r="E262" s="32">
        <v>45047</v>
      </c>
      <c r="F262">
        <v>105</v>
      </c>
      <c r="G262">
        <v>4.7</v>
      </c>
      <c r="H262">
        <v>2023</v>
      </c>
      <c r="I262" t="s">
        <v>1063</v>
      </c>
      <c r="J262" t="s">
        <v>1087</v>
      </c>
      <c r="K262">
        <v>5</v>
      </c>
      <c r="L262" t="s">
        <v>1053</v>
      </c>
      <c r="M262">
        <v>5</v>
      </c>
    </row>
    <row r="263" spans="1:13" x14ac:dyDescent="0.3">
      <c r="A263" t="s">
        <v>469</v>
      </c>
      <c r="B263" t="s">
        <v>14</v>
      </c>
      <c r="C263">
        <v>41</v>
      </c>
      <c r="D263" t="s">
        <v>6</v>
      </c>
      <c r="E263" s="32">
        <v>45048</v>
      </c>
      <c r="F263">
        <v>123</v>
      </c>
      <c r="G263">
        <v>3.2</v>
      </c>
      <c r="H263">
        <v>2023</v>
      </c>
      <c r="I263" t="s">
        <v>1067</v>
      </c>
      <c r="J263" t="s">
        <v>1088</v>
      </c>
      <c r="K263">
        <v>3</v>
      </c>
      <c r="L263" t="s">
        <v>1053</v>
      </c>
      <c r="M263">
        <v>5</v>
      </c>
    </row>
    <row r="264" spans="1:13" x14ac:dyDescent="0.3">
      <c r="A264" t="s">
        <v>472</v>
      </c>
      <c r="B264" t="s">
        <v>22</v>
      </c>
      <c r="C264">
        <v>61</v>
      </c>
      <c r="D264" t="s">
        <v>6</v>
      </c>
      <c r="E264" s="32">
        <v>45049</v>
      </c>
      <c r="F264">
        <v>115</v>
      </c>
      <c r="G264">
        <v>3.7</v>
      </c>
      <c r="H264">
        <v>2023</v>
      </c>
      <c r="I264" t="s">
        <v>1068</v>
      </c>
      <c r="J264" t="s">
        <v>1087</v>
      </c>
      <c r="K264">
        <v>4</v>
      </c>
      <c r="L264" t="s">
        <v>1053</v>
      </c>
      <c r="M264">
        <v>5</v>
      </c>
    </row>
    <row r="265" spans="1:13" x14ac:dyDescent="0.3">
      <c r="A265" t="s">
        <v>475</v>
      </c>
      <c r="B265" t="s">
        <v>5</v>
      </c>
      <c r="C265">
        <v>111</v>
      </c>
      <c r="D265" t="s">
        <v>11</v>
      </c>
      <c r="E265" s="32">
        <v>45050</v>
      </c>
      <c r="F265">
        <v>90</v>
      </c>
      <c r="G265">
        <v>2.8</v>
      </c>
      <c r="H265">
        <v>2023</v>
      </c>
      <c r="I265" t="s">
        <v>1066</v>
      </c>
      <c r="J265" t="s">
        <v>1087</v>
      </c>
      <c r="K265">
        <v>3</v>
      </c>
      <c r="L265" t="s">
        <v>1053</v>
      </c>
      <c r="M265">
        <v>5</v>
      </c>
    </row>
    <row r="266" spans="1:13" x14ac:dyDescent="0.3">
      <c r="A266" t="s">
        <v>476</v>
      </c>
      <c r="B266" t="s">
        <v>22</v>
      </c>
      <c r="C266">
        <v>81</v>
      </c>
      <c r="D266" t="s">
        <v>9</v>
      </c>
      <c r="E266" s="32">
        <v>45050</v>
      </c>
      <c r="F266">
        <v>92</v>
      </c>
      <c r="G266">
        <v>4.9000000000000004</v>
      </c>
      <c r="H266">
        <v>2023</v>
      </c>
      <c r="I266" t="s">
        <v>1066</v>
      </c>
      <c r="J266" t="s">
        <v>1087</v>
      </c>
      <c r="K266">
        <v>5</v>
      </c>
      <c r="L266" t="s">
        <v>1053</v>
      </c>
      <c r="M266">
        <v>5</v>
      </c>
    </row>
    <row r="267" spans="1:13" x14ac:dyDescent="0.3">
      <c r="A267" t="s">
        <v>478</v>
      </c>
      <c r="B267" t="s">
        <v>5</v>
      </c>
      <c r="C267">
        <v>143</v>
      </c>
      <c r="D267" t="s">
        <v>13</v>
      </c>
      <c r="E267" s="32">
        <v>45052</v>
      </c>
      <c r="F267">
        <v>54</v>
      </c>
      <c r="G267">
        <v>4.4000000000000004</v>
      </c>
      <c r="H267">
        <v>2023</v>
      </c>
      <c r="I267" t="s">
        <v>1064</v>
      </c>
      <c r="J267" t="s">
        <v>1089</v>
      </c>
      <c r="K267">
        <v>4</v>
      </c>
      <c r="L267" t="s">
        <v>1053</v>
      </c>
      <c r="M267">
        <v>5</v>
      </c>
    </row>
    <row r="268" spans="1:13" x14ac:dyDescent="0.3">
      <c r="A268" t="s">
        <v>480</v>
      </c>
      <c r="B268" t="s">
        <v>19</v>
      </c>
      <c r="C268">
        <v>137</v>
      </c>
      <c r="D268" t="s">
        <v>13</v>
      </c>
      <c r="E268" s="32">
        <v>45053</v>
      </c>
      <c r="F268">
        <v>44</v>
      </c>
      <c r="G268">
        <v>4.7</v>
      </c>
      <c r="H268">
        <v>2023</v>
      </c>
      <c r="I268" t="s">
        <v>1065</v>
      </c>
      <c r="J268" t="s">
        <v>1089</v>
      </c>
      <c r="K268">
        <v>5</v>
      </c>
      <c r="L268" t="s">
        <v>1053</v>
      </c>
      <c r="M268">
        <v>5</v>
      </c>
    </row>
    <row r="269" spans="1:13" x14ac:dyDescent="0.3">
      <c r="A269" t="s">
        <v>484</v>
      </c>
      <c r="B269" t="s">
        <v>19</v>
      </c>
      <c r="C269">
        <v>73</v>
      </c>
      <c r="D269" t="s">
        <v>10</v>
      </c>
      <c r="E269" s="32">
        <v>45054</v>
      </c>
      <c r="F269">
        <v>87</v>
      </c>
      <c r="G269">
        <v>3.6</v>
      </c>
      <c r="H269">
        <v>2023</v>
      </c>
      <c r="I269" t="s">
        <v>1063</v>
      </c>
      <c r="J269" t="s">
        <v>1087</v>
      </c>
      <c r="K269">
        <v>4</v>
      </c>
      <c r="L269" t="s">
        <v>1053</v>
      </c>
      <c r="M269">
        <v>5</v>
      </c>
    </row>
    <row r="270" spans="1:13" x14ac:dyDescent="0.3">
      <c r="A270" t="s">
        <v>485</v>
      </c>
      <c r="B270" t="s">
        <v>22</v>
      </c>
      <c r="C270">
        <v>25</v>
      </c>
      <c r="D270" t="s">
        <v>11</v>
      </c>
      <c r="E270" s="32">
        <v>45054</v>
      </c>
      <c r="F270">
        <v>52</v>
      </c>
      <c r="G270">
        <v>3.8</v>
      </c>
      <c r="H270">
        <v>2023</v>
      </c>
      <c r="I270" t="s">
        <v>1063</v>
      </c>
      <c r="J270" t="s">
        <v>1091</v>
      </c>
      <c r="K270">
        <v>4</v>
      </c>
      <c r="L270" t="s">
        <v>1053</v>
      </c>
      <c r="M270">
        <v>5</v>
      </c>
    </row>
    <row r="271" spans="1:13" x14ac:dyDescent="0.3">
      <c r="A271" t="s">
        <v>486</v>
      </c>
      <c r="B271" t="s">
        <v>8</v>
      </c>
      <c r="C271">
        <v>44</v>
      </c>
      <c r="D271" t="s">
        <v>6</v>
      </c>
      <c r="E271" s="32">
        <v>45054</v>
      </c>
      <c r="F271">
        <v>63</v>
      </c>
      <c r="G271">
        <v>3.5</v>
      </c>
      <c r="H271">
        <v>2023</v>
      </c>
      <c r="I271" t="s">
        <v>1063</v>
      </c>
      <c r="J271" t="s">
        <v>1088</v>
      </c>
      <c r="K271">
        <v>4</v>
      </c>
      <c r="L271" t="s">
        <v>1053</v>
      </c>
      <c r="M271">
        <v>5</v>
      </c>
    </row>
    <row r="272" spans="1:13" x14ac:dyDescent="0.3">
      <c r="A272" t="s">
        <v>488</v>
      </c>
      <c r="B272" t="s">
        <v>5</v>
      </c>
      <c r="C272">
        <v>89</v>
      </c>
      <c r="D272" t="s">
        <v>13</v>
      </c>
      <c r="E272" s="32">
        <v>45056</v>
      </c>
      <c r="F272">
        <v>176</v>
      </c>
      <c r="G272">
        <v>4.5</v>
      </c>
      <c r="H272">
        <v>2023</v>
      </c>
      <c r="I272" t="s">
        <v>1068</v>
      </c>
      <c r="J272" t="s">
        <v>1087</v>
      </c>
      <c r="K272">
        <v>5</v>
      </c>
      <c r="L272" t="s">
        <v>1053</v>
      </c>
      <c r="M272">
        <v>5</v>
      </c>
    </row>
    <row r="273" spans="1:13" x14ac:dyDescent="0.3">
      <c r="A273" t="s">
        <v>489</v>
      </c>
      <c r="B273" t="s">
        <v>18</v>
      </c>
      <c r="C273">
        <v>54</v>
      </c>
      <c r="D273" t="s">
        <v>11</v>
      </c>
      <c r="E273" s="32">
        <v>45057</v>
      </c>
      <c r="F273">
        <v>31</v>
      </c>
      <c r="G273">
        <v>3.3</v>
      </c>
      <c r="H273">
        <v>2023</v>
      </c>
      <c r="I273" t="s">
        <v>1066</v>
      </c>
      <c r="J273" t="s">
        <v>1088</v>
      </c>
      <c r="K273">
        <v>3</v>
      </c>
      <c r="L273" t="s">
        <v>1053</v>
      </c>
      <c r="M273">
        <v>5</v>
      </c>
    </row>
    <row r="274" spans="1:13" x14ac:dyDescent="0.3">
      <c r="A274" t="s">
        <v>491</v>
      </c>
      <c r="B274" t="s">
        <v>14</v>
      </c>
      <c r="C274">
        <v>91</v>
      </c>
      <c r="D274" t="s">
        <v>13</v>
      </c>
      <c r="E274" s="32">
        <v>45058</v>
      </c>
      <c r="F274">
        <v>76</v>
      </c>
      <c r="G274">
        <v>4.9000000000000004</v>
      </c>
      <c r="H274">
        <v>2023</v>
      </c>
      <c r="I274" t="s">
        <v>1062</v>
      </c>
      <c r="J274" t="s">
        <v>1087</v>
      </c>
      <c r="K274">
        <v>5</v>
      </c>
      <c r="L274" t="s">
        <v>1053</v>
      </c>
      <c r="M274">
        <v>5</v>
      </c>
    </row>
    <row r="275" spans="1:13" x14ac:dyDescent="0.3">
      <c r="A275" t="s">
        <v>492</v>
      </c>
      <c r="B275" t="s">
        <v>8</v>
      </c>
      <c r="C275">
        <v>144</v>
      </c>
      <c r="D275" t="s">
        <v>6</v>
      </c>
      <c r="E275" s="32">
        <v>45058</v>
      </c>
      <c r="F275">
        <v>62</v>
      </c>
      <c r="G275">
        <v>4.8</v>
      </c>
      <c r="H275">
        <v>2023</v>
      </c>
      <c r="I275" t="s">
        <v>1062</v>
      </c>
      <c r="J275" t="s">
        <v>1089</v>
      </c>
      <c r="K275">
        <v>5</v>
      </c>
      <c r="L275" t="s">
        <v>1053</v>
      </c>
      <c r="M275">
        <v>5</v>
      </c>
    </row>
    <row r="276" spans="1:13" x14ac:dyDescent="0.3">
      <c r="A276" t="s">
        <v>493</v>
      </c>
      <c r="B276" t="s">
        <v>14</v>
      </c>
      <c r="C276">
        <v>81</v>
      </c>
      <c r="D276" t="s">
        <v>9</v>
      </c>
      <c r="E276" s="32">
        <v>45060</v>
      </c>
      <c r="F276">
        <v>100</v>
      </c>
      <c r="G276">
        <v>1.3</v>
      </c>
      <c r="H276">
        <v>2023</v>
      </c>
      <c r="I276" t="s">
        <v>1065</v>
      </c>
      <c r="J276" t="s">
        <v>1087</v>
      </c>
      <c r="K276">
        <v>1</v>
      </c>
      <c r="L276" t="s">
        <v>1053</v>
      </c>
      <c r="M276">
        <v>5</v>
      </c>
    </row>
    <row r="277" spans="1:13" x14ac:dyDescent="0.3">
      <c r="A277" t="s">
        <v>496</v>
      </c>
      <c r="B277" t="s">
        <v>15</v>
      </c>
      <c r="C277">
        <v>56</v>
      </c>
      <c r="D277" t="s">
        <v>13</v>
      </c>
      <c r="E277" s="32">
        <v>45061</v>
      </c>
      <c r="F277">
        <v>200</v>
      </c>
      <c r="G277">
        <v>4.5999999999999996</v>
      </c>
      <c r="H277">
        <v>2023</v>
      </c>
      <c r="I277" t="s">
        <v>1063</v>
      </c>
      <c r="J277" t="s">
        <v>1088</v>
      </c>
      <c r="K277">
        <v>5</v>
      </c>
      <c r="L277" t="s">
        <v>1053</v>
      </c>
      <c r="M277">
        <v>5</v>
      </c>
    </row>
    <row r="278" spans="1:13" x14ac:dyDescent="0.3">
      <c r="A278" t="s">
        <v>498</v>
      </c>
      <c r="B278" t="s">
        <v>5</v>
      </c>
      <c r="C278">
        <v>51</v>
      </c>
      <c r="D278" t="s">
        <v>13</v>
      </c>
      <c r="E278" s="32">
        <v>45062</v>
      </c>
      <c r="F278">
        <v>117</v>
      </c>
      <c r="G278">
        <v>2.7</v>
      </c>
      <c r="H278">
        <v>2023</v>
      </c>
      <c r="I278" t="s">
        <v>1067</v>
      </c>
      <c r="J278" t="s">
        <v>1088</v>
      </c>
      <c r="K278">
        <v>3</v>
      </c>
      <c r="L278" t="s">
        <v>1053</v>
      </c>
      <c r="M278">
        <v>5</v>
      </c>
    </row>
    <row r="279" spans="1:13" x14ac:dyDescent="0.3">
      <c r="A279" t="s">
        <v>501</v>
      </c>
      <c r="B279" t="s">
        <v>5</v>
      </c>
      <c r="C279">
        <v>139</v>
      </c>
      <c r="D279" t="s">
        <v>11</v>
      </c>
      <c r="E279" s="32">
        <v>45063</v>
      </c>
      <c r="F279">
        <v>220</v>
      </c>
      <c r="G279">
        <v>3.2</v>
      </c>
      <c r="H279">
        <v>2023</v>
      </c>
      <c r="I279" t="s">
        <v>1068</v>
      </c>
      <c r="J279" t="s">
        <v>1089</v>
      </c>
      <c r="K279">
        <v>3</v>
      </c>
      <c r="L279" t="s">
        <v>1053</v>
      </c>
      <c r="M279">
        <v>5</v>
      </c>
    </row>
    <row r="280" spans="1:13" x14ac:dyDescent="0.3">
      <c r="A280" t="s">
        <v>504</v>
      </c>
      <c r="B280" t="s">
        <v>18</v>
      </c>
      <c r="C280">
        <v>19</v>
      </c>
      <c r="D280" t="s">
        <v>6</v>
      </c>
      <c r="E280" s="32">
        <v>45064</v>
      </c>
      <c r="F280">
        <v>132</v>
      </c>
      <c r="G280">
        <v>4.3</v>
      </c>
      <c r="H280">
        <v>2023</v>
      </c>
      <c r="I280" t="s">
        <v>1066</v>
      </c>
      <c r="J280" t="s">
        <v>1091</v>
      </c>
      <c r="K280">
        <v>4</v>
      </c>
      <c r="L280" t="s">
        <v>1053</v>
      </c>
      <c r="M280">
        <v>5</v>
      </c>
    </row>
    <row r="281" spans="1:13" x14ac:dyDescent="0.3">
      <c r="A281" t="s">
        <v>505</v>
      </c>
      <c r="B281" t="s">
        <v>22</v>
      </c>
      <c r="C281">
        <v>104</v>
      </c>
      <c r="D281" t="s">
        <v>6</v>
      </c>
      <c r="E281" s="32">
        <v>45065</v>
      </c>
      <c r="F281">
        <v>68</v>
      </c>
      <c r="G281">
        <v>3.7</v>
      </c>
      <c r="H281">
        <v>2023</v>
      </c>
      <c r="I281" t="s">
        <v>1062</v>
      </c>
      <c r="J281" t="s">
        <v>1087</v>
      </c>
      <c r="K281">
        <v>4</v>
      </c>
      <c r="L281" t="s">
        <v>1053</v>
      </c>
      <c r="M281">
        <v>5</v>
      </c>
    </row>
    <row r="282" spans="1:13" x14ac:dyDescent="0.3">
      <c r="A282" t="s">
        <v>507</v>
      </c>
      <c r="B282" t="s">
        <v>16</v>
      </c>
      <c r="C282">
        <v>107</v>
      </c>
      <c r="D282" t="s">
        <v>6</v>
      </c>
      <c r="E282" s="32">
        <v>45067</v>
      </c>
      <c r="F282">
        <v>115</v>
      </c>
      <c r="G282">
        <v>4.9000000000000004</v>
      </c>
      <c r="H282">
        <v>2023</v>
      </c>
      <c r="I282" t="s">
        <v>1065</v>
      </c>
      <c r="J282" t="s">
        <v>1087</v>
      </c>
      <c r="K282">
        <v>5</v>
      </c>
      <c r="L282" t="s">
        <v>1053</v>
      </c>
      <c r="M282">
        <v>5</v>
      </c>
    </row>
    <row r="283" spans="1:13" x14ac:dyDescent="0.3">
      <c r="A283" t="s">
        <v>508</v>
      </c>
      <c r="B283" t="s">
        <v>16</v>
      </c>
      <c r="C283">
        <v>93</v>
      </c>
      <c r="D283" t="s">
        <v>6</v>
      </c>
      <c r="E283" s="32">
        <v>45067</v>
      </c>
      <c r="F283">
        <v>128</v>
      </c>
      <c r="G283">
        <v>3.9</v>
      </c>
      <c r="H283">
        <v>2023</v>
      </c>
      <c r="I283" t="s">
        <v>1065</v>
      </c>
      <c r="J283" t="s">
        <v>1087</v>
      </c>
      <c r="K283">
        <v>4</v>
      </c>
      <c r="L283" t="s">
        <v>1053</v>
      </c>
      <c r="M283">
        <v>5</v>
      </c>
    </row>
    <row r="284" spans="1:13" x14ac:dyDescent="0.3">
      <c r="A284" t="s">
        <v>509</v>
      </c>
      <c r="B284" t="s">
        <v>16</v>
      </c>
      <c r="C284">
        <v>117</v>
      </c>
      <c r="D284" t="s">
        <v>11</v>
      </c>
      <c r="E284" s="32">
        <v>45067</v>
      </c>
      <c r="F284">
        <v>90</v>
      </c>
      <c r="G284">
        <v>4.5</v>
      </c>
      <c r="H284">
        <v>2023</v>
      </c>
      <c r="I284" t="s">
        <v>1065</v>
      </c>
      <c r="J284" t="s">
        <v>1087</v>
      </c>
      <c r="K284">
        <v>5</v>
      </c>
      <c r="L284" t="s">
        <v>1053</v>
      </c>
      <c r="M284">
        <v>5</v>
      </c>
    </row>
    <row r="285" spans="1:13" x14ac:dyDescent="0.3">
      <c r="A285" t="s">
        <v>511</v>
      </c>
      <c r="B285" t="s">
        <v>18</v>
      </c>
      <c r="C285">
        <v>64</v>
      </c>
      <c r="D285" t="s">
        <v>6</v>
      </c>
      <c r="E285" s="32">
        <v>45068</v>
      </c>
      <c r="F285">
        <v>132</v>
      </c>
      <c r="G285">
        <v>3.3</v>
      </c>
      <c r="H285">
        <v>2023</v>
      </c>
      <c r="I285" t="s">
        <v>1063</v>
      </c>
      <c r="J285" t="s">
        <v>1087</v>
      </c>
      <c r="K285">
        <v>3</v>
      </c>
      <c r="L285" t="s">
        <v>1053</v>
      </c>
      <c r="M285">
        <v>5</v>
      </c>
    </row>
    <row r="286" spans="1:13" x14ac:dyDescent="0.3">
      <c r="A286" t="s">
        <v>512</v>
      </c>
      <c r="B286" t="s">
        <v>8</v>
      </c>
      <c r="C286">
        <v>33</v>
      </c>
      <c r="D286" t="s">
        <v>6</v>
      </c>
      <c r="E286" s="32">
        <v>45068</v>
      </c>
      <c r="F286">
        <v>170</v>
      </c>
      <c r="G286">
        <v>3.8</v>
      </c>
      <c r="H286">
        <v>2023</v>
      </c>
      <c r="I286" t="s">
        <v>1063</v>
      </c>
      <c r="J286" t="s">
        <v>1088</v>
      </c>
      <c r="K286">
        <v>4</v>
      </c>
      <c r="L286" t="s">
        <v>1053</v>
      </c>
      <c r="M286">
        <v>5</v>
      </c>
    </row>
    <row r="287" spans="1:13" x14ac:dyDescent="0.3">
      <c r="A287" t="s">
        <v>513</v>
      </c>
      <c r="B287" t="s">
        <v>16</v>
      </c>
      <c r="C287">
        <v>115</v>
      </c>
      <c r="D287" t="s">
        <v>11</v>
      </c>
      <c r="E287" s="32">
        <v>45068</v>
      </c>
      <c r="F287">
        <v>42</v>
      </c>
      <c r="G287">
        <v>4.7</v>
      </c>
      <c r="H287">
        <v>2023</v>
      </c>
      <c r="I287" t="s">
        <v>1063</v>
      </c>
      <c r="J287" t="s">
        <v>1087</v>
      </c>
      <c r="K287">
        <v>5</v>
      </c>
      <c r="L287" t="s">
        <v>1053</v>
      </c>
      <c r="M287">
        <v>5</v>
      </c>
    </row>
    <row r="288" spans="1:13" x14ac:dyDescent="0.3">
      <c r="A288" t="s">
        <v>514</v>
      </c>
      <c r="B288" t="s">
        <v>21</v>
      </c>
      <c r="C288">
        <v>155</v>
      </c>
      <c r="D288" t="s">
        <v>13</v>
      </c>
      <c r="E288" s="32">
        <v>45069</v>
      </c>
      <c r="F288">
        <v>37</v>
      </c>
      <c r="G288">
        <v>4</v>
      </c>
      <c r="H288">
        <v>2023</v>
      </c>
      <c r="I288" t="s">
        <v>1067</v>
      </c>
      <c r="J288" t="s">
        <v>1089</v>
      </c>
      <c r="K288">
        <v>4</v>
      </c>
      <c r="L288" t="s">
        <v>1053</v>
      </c>
      <c r="M288">
        <v>5</v>
      </c>
    </row>
    <row r="289" spans="1:13" x14ac:dyDescent="0.3">
      <c r="A289" t="s">
        <v>516</v>
      </c>
      <c r="B289" t="s">
        <v>5</v>
      </c>
      <c r="C289">
        <v>63</v>
      </c>
      <c r="D289" t="s">
        <v>13</v>
      </c>
      <c r="E289" s="32">
        <v>45069</v>
      </c>
      <c r="F289">
        <v>80</v>
      </c>
      <c r="G289">
        <v>2.5</v>
      </c>
      <c r="H289">
        <v>2023</v>
      </c>
      <c r="I289" t="s">
        <v>1067</v>
      </c>
      <c r="J289" t="s">
        <v>1087</v>
      </c>
      <c r="K289">
        <v>3</v>
      </c>
      <c r="L289" t="s">
        <v>1053</v>
      </c>
      <c r="M289">
        <v>5</v>
      </c>
    </row>
    <row r="290" spans="1:13" x14ac:dyDescent="0.3">
      <c r="A290" t="s">
        <v>517</v>
      </c>
      <c r="B290" t="s">
        <v>18</v>
      </c>
      <c r="C290">
        <v>59</v>
      </c>
      <c r="D290" t="s">
        <v>10</v>
      </c>
      <c r="E290" s="32">
        <v>45070</v>
      </c>
      <c r="F290">
        <v>123</v>
      </c>
      <c r="G290">
        <v>3.6</v>
      </c>
      <c r="H290">
        <v>2023</v>
      </c>
      <c r="I290" t="s">
        <v>1068</v>
      </c>
      <c r="J290" t="s">
        <v>1088</v>
      </c>
      <c r="K290">
        <v>4</v>
      </c>
      <c r="L290" t="s">
        <v>1053</v>
      </c>
      <c r="M290">
        <v>5</v>
      </c>
    </row>
    <row r="291" spans="1:13" x14ac:dyDescent="0.3">
      <c r="A291" t="s">
        <v>520</v>
      </c>
      <c r="B291" t="s">
        <v>14</v>
      </c>
      <c r="C291">
        <v>151</v>
      </c>
      <c r="D291" t="s">
        <v>13</v>
      </c>
      <c r="E291" s="32">
        <v>45071</v>
      </c>
      <c r="F291">
        <v>123</v>
      </c>
      <c r="G291">
        <v>3.7</v>
      </c>
      <c r="H291">
        <v>2023</v>
      </c>
      <c r="I291" t="s">
        <v>1066</v>
      </c>
      <c r="J291" t="s">
        <v>1089</v>
      </c>
      <c r="K291">
        <v>4</v>
      </c>
      <c r="L291" t="s">
        <v>1053</v>
      </c>
      <c r="M291">
        <v>5</v>
      </c>
    </row>
    <row r="292" spans="1:13" x14ac:dyDescent="0.3">
      <c r="A292" t="s">
        <v>521</v>
      </c>
      <c r="B292" t="s">
        <v>8</v>
      </c>
      <c r="C292">
        <v>146</v>
      </c>
      <c r="D292" t="s">
        <v>6</v>
      </c>
      <c r="E292" s="32">
        <v>45071</v>
      </c>
      <c r="F292">
        <v>123</v>
      </c>
      <c r="G292">
        <v>4.3</v>
      </c>
      <c r="H292">
        <v>2023</v>
      </c>
      <c r="I292" t="s">
        <v>1066</v>
      </c>
      <c r="J292" t="s">
        <v>1089</v>
      </c>
      <c r="K292">
        <v>4</v>
      </c>
      <c r="L292" t="s">
        <v>1053</v>
      </c>
      <c r="M292">
        <v>5</v>
      </c>
    </row>
    <row r="293" spans="1:13" x14ac:dyDescent="0.3">
      <c r="A293" t="s">
        <v>522</v>
      </c>
      <c r="B293" t="s">
        <v>5</v>
      </c>
      <c r="C293">
        <v>148</v>
      </c>
      <c r="D293" t="s">
        <v>6</v>
      </c>
      <c r="E293" s="32">
        <v>45071</v>
      </c>
      <c r="F293">
        <v>36</v>
      </c>
      <c r="G293">
        <v>2.9</v>
      </c>
      <c r="H293">
        <v>2023</v>
      </c>
      <c r="I293" t="s">
        <v>1066</v>
      </c>
      <c r="J293" t="s">
        <v>1089</v>
      </c>
      <c r="K293">
        <v>3</v>
      </c>
      <c r="L293" t="s">
        <v>1053</v>
      </c>
      <c r="M293">
        <v>5</v>
      </c>
    </row>
    <row r="294" spans="1:13" x14ac:dyDescent="0.3">
      <c r="A294" t="s">
        <v>523</v>
      </c>
      <c r="B294" t="s">
        <v>14</v>
      </c>
      <c r="C294">
        <v>81</v>
      </c>
      <c r="D294" t="s">
        <v>6</v>
      </c>
      <c r="E294" s="32">
        <v>45071</v>
      </c>
      <c r="F294">
        <v>116</v>
      </c>
      <c r="G294">
        <v>4.3</v>
      </c>
      <c r="H294">
        <v>2023</v>
      </c>
      <c r="I294" t="s">
        <v>1066</v>
      </c>
      <c r="J294" t="s">
        <v>1087</v>
      </c>
      <c r="K294">
        <v>4</v>
      </c>
      <c r="L294" t="s">
        <v>1053</v>
      </c>
      <c r="M294">
        <v>5</v>
      </c>
    </row>
    <row r="295" spans="1:13" x14ac:dyDescent="0.3">
      <c r="A295" t="s">
        <v>524</v>
      </c>
      <c r="B295" t="s">
        <v>22</v>
      </c>
      <c r="C295">
        <v>115</v>
      </c>
      <c r="D295" t="s">
        <v>6</v>
      </c>
      <c r="E295" s="32">
        <v>45071</v>
      </c>
      <c r="F295">
        <v>40</v>
      </c>
      <c r="G295">
        <v>4.9000000000000004</v>
      </c>
      <c r="H295">
        <v>2023</v>
      </c>
      <c r="I295" t="s">
        <v>1066</v>
      </c>
      <c r="J295" t="s">
        <v>1087</v>
      </c>
      <c r="K295">
        <v>5</v>
      </c>
      <c r="L295" t="s">
        <v>1053</v>
      </c>
      <c r="M295">
        <v>5</v>
      </c>
    </row>
    <row r="296" spans="1:13" x14ac:dyDescent="0.3">
      <c r="A296" t="s">
        <v>525</v>
      </c>
      <c r="B296" t="s">
        <v>22</v>
      </c>
      <c r="C296">
        <v>117</v>
      </c>
      <c r="D296" t="s">
        <v>13</v>
      </c>
      <c r="E296" s="32">
        <v>45071</v>
      </c>
      <c r="F296">
        <v>40</v>
      </c>
      <c r="G296">
        <v>4</v>
      </c>
      <c r="H296">
        <v>2023</v>
      </c>
      <c r="I296" t="s">
        <v>1066</v>
      </c>
      <c r="J296" t="s">
        <v>1087</v>
      </c>
      <c r="K296">
        <v>4</v>
      </c>
      <c r="L296" t="s">
        <v>1053</v>
      </c>
      <c r="M296">
        <v>5</v>
      </c>
    </row>
    <row r="297" spans="1:13" x14ac:dyDescent="0.3">
      <c r="A297" t="s">
        <v>528</v>
      </c>
      <c r="B297" t="s">
        <v>21</v>
      </c>
      <c r="C297">
        <v>45</v>
      </c>
      <c r="D297" t="s">
        <v>10</v>
      </c>
      <c r="E297" s="32">
        <v>45072</v>
      </c>
      <c r="F297">
        <v>135</v>
      </c>
      <c r="G297">
        <v>3.9</v>
      </c>
      <c r="H297">
        <v>2023</v>
      </c>
      <c r="I297" t="s">
        <v>1062</v>
      </c>
      <c r="J297" t="s">
        <v>1088</v>
      </c>
      <c r="K297">
        <v>4</v>
      </c>
      <c r="L297" t="s">
        <v>1053</v>
      </c>
      <c r="M297">
        <v>5</v>
      </c>
    </row>
    <row r="298" spans="1:13" x14ac:dyDescent="0.3">
      <c r="A298" t="s">
        <v>530</v>
      </c>
      <c r="B298" t="s">
        <v>18</v>
      </c>
      <c r="C298">
        <v>43</v>
      </c>
      <c r="D298" t="s">
        <v>11</v>
      </c>
      <c r="E298" s="32">
        <v>45072</v>
      </c>
      <c r="F298">
        <v>37</v>
      </c>
      <c r="G298">
        <v>4.9000000000000004</v>
      </c>
      <c r="H298">
        <v>2023</v>
      </c>
      <c r="I298" t="s">
        <v>1062</v>
      </c>
      <c r="J298" t="s">
        <v>1088</v>
      </c>
      <c r="K298">
        <v>5</v>
      </c>
      <c r="L298" t="s">
        <v>1053</v>
      </c>
      <c r="M298">
        <v>5</v>
      </c>
    </row>
    <row r="299" spans="1:13" x14ac:dyDescent="0.3">
      <c r="A299" t="s">
        <v>534</v>
      </c>
      <c r="B299" t="s">
        <v>14</v>
      </c>
      <c r="C299">
        <v>40</v>
      </c>
      <c r="D299" t="s">
        <v>10</v>
      </c>
      <c r="E299" s="32">
        <v>45074</v>
      </c>
      <c r="F299">
        <v>116</v>
      </c>
      <c r="G299">
        <v>2.6</v>
      </c>
      <c r="H299">
        <v>2023</v>
      </c>
      <c r="I299" t="s">
        <v>1065</v>
      </c>
      <c r="J299" t="s">
        <v>1088</v>
      </c>
      <c r="K299">
        <v>3</v>
      </c>
      <c r="L299" t="s">
        <v>1053</v>
      </c>
      <c r="M299">
        <v>5</v>
      </c>
    </row>
    <row r="300" spans="1:13" x14ac:dyDescent="0.3">
      <c r="A300" t="s">
        <v>535</v>
      </c>
      <c r="B300" t="s">
        <v>18</v>
      </c>
      <c r="C300">
        <v>122</v>
      </c>
      <c r="D300" t="s">
        <v>6</v>
      </c>
      <c r="E300" s="32">
        <v>45074</v>
      </c>
      <c r="F300">
        <v>45</v>
      </c>
      <c r="G300">
        <v>4.2</v>
      </c>
      <c r="H300">
        <v>2023</v>
      </c>
      <c r="I300" t="s">
        <v>1065</v>
      </c>
      <c r="J300" t="s">
        <v>1089</v>
      </c>
      <c r="K300">
        <v>4</v>
      </c>
      <c r="L300" t="s">
        <v>1053</v>
      </c>
      <c r="M300">
        <v>5</v>
      </c>
    </row>
    <row r="301" spans="1:13" x14ac:dyDescent="0.3">
      <c r="A301" t="s">
        <v>536</v>
      </c>
      <c r="B301" t="s">
        <v>8</v>
      </c>
      <c r="C301">
        <v>98</v>
      </c>
      <c r="D301" t="s">
        <v>13</v>
      </c>
      <c r="E301" s="32">
        <v>45075</v>
      </c>
      <c r="F301">
        <v>35</v>
      </c>
      <c r="G301">
        <v>4.5</v>
      </c>
      <c r="H301">
        <v>2023</v>
      </c>
      <c r="I301" t="s">
        <v>1063</v>
      </c>
      <c r="J301" t="s">
        <v>1087</v>
      </c>
      <c r="K301">
        <v>5</v>
      </c>
      <c r="L301" t="s">
        <v>1053</v>
      </c>
      <c r="M301">
        <v>5</v>
      </c>
    </row>
    <row r="302" spans="1:13" x14ac:dyDescent="0.3">
      <c r="A302" t="s">
        <v>537</v>
      </c>
      <c r="B302" t="s">
        <v>22</v>
      </c>
      <c r="C302">
        <v>110</v>
      </c>
      <c r="D302" t="s">
        <v>10</v>
      </c>
      <c r="E302" s="32">
        <v>45075</v>
      </c>
      <c r="F302">
        <v>100</v>
      </c>
      <c r="G302">
        <v>4.4000000000000004</v>
      </c>
      <c r="H302">
        <v>2023</v>
      </c>
      <c r="I302" t="s">
        <v>1063</v>
      </c>
      <c r="J302" t="s">
        <v>1087</v>
      </c>
      <c r="K302">
        <v>4</v>
      </c>
      <c r="L302" t="s">
        <v>1053</v>
      </c>
      <c r="M302">
        <v>5</v>
      </c>
    </row>
    <row r="303" spans="1:13" x14ac:dyDescent="0.3">
      <c r="A303" t="s">
        <v>538</v>
      </c>
      <c r="B303" t="s">
        <v>22</v>
      </c>
      <c r="C303">
        <v>62</v>
      </c>
      <c r="D303" t="s">
        <v>11</v>
      </c>
      <c r="E303" s="32">
        <v>45076</v>
      </c>
      <c r="F303">
        <v>125</v>
      </c>
      <c r="G303">
        <v>3.5</v>
      </c>
      <c r="H303">
        <v>2023</v>
      </c>
      <c r="I303" t="s">
        <v>1067</v>
      </c>
      <c r="J303" t="s">
        <v>1087</v>
      </c>
      <c r="K303">
        <v>4</v>
      </c>
      <c r="L303" t="s">
        <v>1053</v>
      </c>
      <c r="M303">
        <v>5</v>
      </c>
    </row>
    <row r="304" spans="1:13" x14ac:dyDescent="0.3">
      <c r="A304" t="s">
        <v>539</v>
      </c>
      <c r="B304" t="s">
        <v>18</v>
      </c>
      <c r="C304">
        <v>134</v>
      </c>
      <c r="D304" t="s">
        <v>6</v>
      </c>
      <c r="E304" s="32">
        <v>45076</v>
      </c>
      <c r="F304">
        <v>120</v>
      </c>
      <c r="G304">
        <v>3</v>
      </c>
      <c r="H304">
        <v>2023</v>
      </c>
      <c r="I304" t="s">
        <v>1067</v>
      </c>
      <c r="J304" t="s">
        <v>1089</v>
      </c>
      <c r="K304">
        <v>3</v>
      </c>
      <c r="L304" t="s">
        <v>1053</v>
      </c>
      <c r="M304">
        <v>5</v>
      </c>
    </row>
    <row r="305" spans="1:13" x14ac:dyDescent="0.3">
      <c r="A305" t="s">
        <v>540</v>
      </c>
      <c r="B305" t="s">
        <v>19</v>
      </c>
      <c r="C305">
        <v>94</v>
      </c>
      <c r="D305" t="s">
        <v>9</v>
      </c>
      <c r="E305" s="32">
        <v>45076</v>
      </c>
      <c r="F305">
        <v>180</v>
      </c>
      <c r="G305">
        <v>4.7</v>
      </c>
      <c r="H305">
        <v>2023</v>
      </c>
      <c r="I305" t="s">
        <v>1067</v>
      </c>
      <c r="J305" t="s">
        <v>1087</v>
      </c>
      <c r="K305">
        <v>5</v>
      </c>
      <c r="L305" t="s">
        <v>1053</v>
      </c>
      <c r="M305">
        <v>5</v>
      </c>
    </row>
    <row r="306" spans="1:13" x14ac:dyDescent="0.3">
      <c r="A306" t="s">
        <v>541</v>
      </c>
      <c r="B306" t="s">
        <v>15</v>
      </c>
      <c r="C306">
        <v>63</v>
      </c>
      <c r="D306" t="s">
        <v>10</v>
      </c>
      <c r="E306" s="32">
        <v>45076</v>
      </c>
      <c r="F306">
        <v>44</v>
      </c>
      <c r="G306">
        <v>3</v>
      </c>
      <c r="H306">
        <v>2023</v>
      </c>
      <c r="I306" t="s">
        <v>1067</v>
      </c>
      <c r="J306" t="s">
        <v>1087</v>
      </c>
      <c r="K306">
        <v>3</v>
      </c>
      <c r="L306" t="s">
        <v>1053</v>
      </c>
      <c r="M306">
        <v>5</v>
      </c>
    </row>
    <row r="307" spans="1:13" x14ac:dyDescent="0.3">
      <c r="A307" t="s">
        <v>543</v>
      </c>
      <c r="B307" t="s">
        <v>18</v>
      </c>
      <c r="C307">
        <v>106</v>
      </c>
      <c r="D307" t="s">
        <v>6</v>
      </c>
      <c r="E307" s="32">
        <v>45077</v>
      </c>
      <c r="F307">
        <v>120</v>
      </c>
      <c r="G307">
        <v>4.0999999999999996</v>
      </c>
      <c r="H307">
        <v>2023</v>
      </c>
      <c r="I307" t="s">
        <v>1068</v>
      </c>
      <c r="J307" t="s">
        <v>1087</v>
      </c>
      <c r="K307">
        <v>4</v>
      </c>
      <c r="L307" t="s">
        <v>1053</v>
      </c>
      <c r="M307">
        <v>5</v>
      </c>
    </row>
    <row r="308" spans="1:13" x14ac:dyDescent="0.3">
      <c r="A308" t="s">
        <v>544</v>
      </c>
      <c r="B308" t="s">
        <v>21</v>
      </c>
      <c r="C308">
        <v>94</v>
      </c>
      <c r="D308" t="s">
        <v>9</v>
      </c>
      <c r="E308" s="32">
        <v>45077</v>
      </c>
      <c r="F308">
        <v>100</v>
      </c>
      <c r="G308">
        <v>3.7</v>
      </c>
      <c r="H308">
        <v>2023</v>
      </c>
      <c r="I308" t="s">
        <v>1068</v>
      </c>
      <c r="J308" t="s">
        <v>1087</v>
      </c>
      <c r="K308">
        <v>4</v>
      </c>
      <c r="L308" t="s">
        <v>1053</v>
      </c>
      <c r="M308">
        <v>5</v>
      </c>
    </row>
    <row r="309" spans="1:13" x14ac:dyDescent="0.3">
      <c r="A309" t="s">
        <v>545</v>
      </c>
      <c r="B309" t="s">
        <v>21</v>
      </c>
      <c r="C309">
        <v>51</v>
      </c>
      <c r="D309" t="s">
        <v>9</v>
      </c>
      <c r="E309" s="32">
        <v>45078</v>
      </c>
      <c r="F309">
        <v>108</v>
      </c>
      <c r="G309">
        <v>4.5</v>
      </c>
      <c r="H309">
        <v>2023</v>
      </c>
      <c r="I309" t="s">
        <v>1066</v>
      </c>
      <c r="J309" t="s">
        <v>1088</v>
      </c>
      <c r="K309">
        <v>5</v>
      </c>
      <c r="L309" t="s">
        <v>1054</v>
      </c>
      <c r="M309">
        <v>6</v>
      </c>
    </row>
    <row r="310" spans="1:13" x14ac:dyDescent="0.3">
      <c r="A310" t="s">
        <v>546</v>
      </c>
      <c r="B310" t="s">
        <v>5</v>
      </c>
      <c r="C310">
        <v>39</v>
      </c>
      <c r="D310" t="s">
        <v>9</v>
      </c>
      <c r="E310" s="32">
        <v>45078</v>
      </c>
      <c r="F310">
        <v>46</v>
      </c>
      <c r="G310">
        <v>4.5999999999999996</v>
      </c>
      <c r="H310">
        <v>2023</v>
      </c>
      <c r="I310" t="s">
        <v>1066</v>
      </c>
      <c r="J310" t="s">
        <v>1088</v>
      </c>
      <c r="K310">
        <v>5</v>
      </c>
      <c r="L310" t="s">
        <v>1054</v>
      </c>
      <c r="M310">
        <v>6</v>
      </c>
    </row>
    <row r="311" spans="1:13" x14ac:dyDescent="0.3">
      <c r="A311" t="s">
        <v>547</v>
      </c>
      <c r="B311" t="s">
        <v>14</v>
      </c>
      <c r="C311">
        <v>111</v>
      </c>
      <c r="D311" t="s">
        <v>6</v>
      </c>
      <c r="E311" s="32">
        <v>45078</v>
      </c>
      <c r="F311">
        <v>210</v>
      </c>
      <c r="G311">
        <v>4.3</v>
      </c>
      <c r="H311">
        <v>2023</v>
      </c>
      <c r="I311" t="s">
        <v>1066</v>
      </c>
      <c r="J311" t="s">
        <v>1087</v>
      </c>
      <c r="K311">
        <v>4</v>
      </c>
      <c r="L311" t="s">
        <v>1054</v>
      </c>
      <c r="M311">
        <v>6</v>
      </c>
    </row>
    <row r="312" spans="1:13" x14ac:dyDescent="0.3">
      <c r="A312" t="s">
        <v>548</v>
      </c>
      <c r="B312" t="s">
        <v>16</v>
      </c>
      <c r="C312">
        <v>141</v>
      </c>
      <c r="D312" t="s">
        <v>11</v>
      </c>
      <c r="E312" s="32">
        <v>45080</v>
      </c>
      <c r="F312">
        <v>54</v>
      </c>
      <c r="G312">
        <v>4.8</v>
      </c>
      <c r="H312">
        <v>2023</v>
      </c>
      <c r="I312" t="s">
        <v>1064</v>
      </c>
      <c r="J312" t="s">
        <v>1089</v>
      </c>
      <c r="K312">
        <v>5</v>
      </c>
      <c r="L312" t="s">
        <v>1054</v>
      </c>
      <c r="M312">
        <v>6</v>
      </c>
    </row>
    <row r="313" spans="1:13" x14ac:dyDescent="0.3">
      <c r="A313" t="s">
        <v>549</v>
      </c>
      <c r="B313" t="s">
        <v>15</v>
      </c>
      <c r="C313">
        <v>147</v>
      </c>
      <c r="D313" t="s">
        <v>6</v>
      </c>
      <c r="E313" s="32">
        <v>45080</v>
      </c>
      <c r="F313">
        <v>115</v>
      </c>
      <c r="G313">
        <v>4.7</v>
      </c>
      <c r="H313">
        <v>2023</v>
      </c>
      <c r="I313" t="s">
        <v>1064</v>
      </c>
      <c r="J313" t="s">
        <v>1089</v>
      </c>
      <c r="K313">
        <v>5</v>
      </c>
      <c r="L313" t="s">
        <v>1054</v>
      </c>
      <c r="M313">
        <v>6</v>
      </c>
    </row>
    <row r="314" spans="1:13" x14ac:dyDescent="0.3">
      <c r="A314" t="s">
        <v>550</v>
      </c>
      <c r="B314" t="s">
        <v>19</v>
      </c>
      <c r="C314">
        <v>49</v>
      </c>
      <c r="D314" t="s">
        <v>9</v>
      </c>
      <c r="E314" s="32">
        <v>45081</v>
      </c>
      <c r="F314">
        <v>100</v>
      </c>
      <c r="G314">
        <v>2.2000000000000002</v>
      </c>
      <c r="H314">
        <v>2023</v>
      </c>
      <c r="I314" t="s">
        <v>1065</v>
      </c>
      <c r="J314" t="s">
        <v>1088</v>
      </c>
      <c r="K314">
        <v>2</v>
      </c>
      <c r="L314" t="s">
        <v>1054</v>
      </c>
      <c r="M314">
        <v>6</v>
      </c>
    </row>
    <row r="315" spans="1:13" x14ac:dyDescent="0.3">
      <c r="A315" t="s">
        <v>552</v>
      </c>
      <c r="B315" t="s">
        <v>16</v>
      </c>
      <c r="C315">
        <v>48</v>
      </c>
      <c r="D315" t="s">
        <v>11</v>
      </c>
      <c r="E315" s="32">
        <v>45082</v>
      </c>
      <c r="F315">
        <v>120</v>
      </c>
      <c r="G315">
        <v>4.0999999999999996</v>
      </c>
      <c r="H315">
        <v>2023</v>
      </c>
      <c r="I315" t="s">
        <v>1063</v>
      </c>
      <c r="J315" t="s">
        <v>1088</v>
      </c>
      <c r="K315">
        <v>4</v>
      </c>
      <c r="L315" t="s">
        <v>1054</v>
      </c>
      <c r="M315">
        <v>6</v>
      </c>
    </row>
    <row r="316" spans="1:13" x14ac:dyDescent="0.3">
      <c r="A316" t="s">
        <v>553</v>
      </c>
      <c r="B316" t="s">
        <v>22</v>
      </c>
      <c r="C316">
        <v>48</v>
      </c>
      <c r="D316" t="s">
        <v>11</v>
      </c>
      <c r="E316" s="32">
        <v>45082</v>
      </c>
      <c r="F316">
        <v>120</v>
      </c>
      <c r="G316">
        <v>4.0999999999999996</v>
      </c>
      <c r="H316">
        <v>2023</v>
      </c>
      <c r="I316" t="s">
        <v>1063</v>
      </c>
      <c r="J316" t="s">
        <v>1088</v>
      </c>
      <c r="K316">
        <v>4</v>
      </c>
      <c r="L316" t="s">
        <v>1054</v>
      </c>
      <c r="M316">
        <v>6</v>
      </c>
    </row>
    <row r="317" spans="1:13" x14ac:dyDescent="0.3">
      <c r="A317" t="s">
        <v>559</v>
      </c>
      <c r="B317" t="s">
        <v>14</v>
      </c>
      <c r="C317">
        <v>125</v>
      </c>
      <c r="D317" t="s">
        <v>10</v>
      </c>
      <c r="E317" s="32">
        <v>45086</v>
      </c>
      <c r="F317">
        <v>87</v>
      </c>
      <c r="G317">
        <v>4.0999999999999996</v>
      </c>
      <c r="H317">
        <v>2023</v>
      </c>
      <c r="I317" t="s">
        <v>1062</v>
      </c>
      <c r="J317" t="s">
        <v>1089</v>
      </c>
      <c r="K317">
        <v>4</v>
      </c>
      <c r="L317" t="s">
        <v>1054</v>
      </c>
      <c r="M317">
        <v>6</v>
      </c>
    </row>
    <row r="318" spans="1:13" x14ac:dyDescent="0.3">
      <c r="A318" t="s">
        <v>560</v>
      </c>
      <c r="B318" t="s">
        <v>18</v>
      </c>
      <c r="C318">
        <v>147</v>
      </c>
      <c r="D318" t="s">
        <v>6</v>
      </c>
      <c r="E318" s="32">
        <v>45086</v>
      </c>
      <c r="F318">
        <v>140</v>
      </c>
      <c r="G318">
        <v>4.2</v>
      </c>
      <c r="H318">
        <v>2023</v>
      </c>
      <c r="I318" t="s">
        <v>1062</v>
      </c>
      <c r="J318" t="s">
        <v>1089</v>
      </c>
      <c r="K318">
        <v>4</v>
      </c>
      <c r="L318" t="s">
        <v>1054</v>
      </c>
      <c r="M318">
        <v>6</v>
      </c>
    </row>
    <row r="319" spans="1:13" x14ac:dyDescent="0.3">
      <c r="A319" t="s">
        <v>562</v>
      </c>
      <c r="B319" t="s">
        <v>15</v>
      </c>
      <c r="C319">
        <v>99</v>
      </c>
      <c r="D319" t="s">
        <v>11</v>
      </c>
      <c r="E319" s="32">
        <v>45087</v>
      </c>
      <c r="F319">
        <v>180</v>
      </c>
      <c r="G319">
        <v>3.8</v>
      </c>
      <c r="H319">
        <v>2023</v>
      </c>
      <c r="I319" t="s">
        <v>1064</v>
      </c>
      <c r="J319" t="s">
        <v>1087</v>
      </c>
      <c r="K319">
        <v>4</v>
      </c>
      <c r="L319" t="s">
        <v>1054</v>
      </c>
      <c r="M319">
        <v>6</v>
      </c>
    </row>
    <row r="320" spans="1:13" x14ac:dyDescent="0.3">
      <c r="A320" t="s">
        <v>563</v>
      </c>
      <c r="B320" t="s">
        <v>5</v>
      </c>
      <c r="C320">
        <v>111</v>
      </c>
      <c r="D320" t="s">
        <v>13</v>
      </c>
      <c r="E320" s="32">
        <v>45088</v>
      </c>
      <c r="F320">
        <v>22</v>
      </c>
      <c r="G320">
        <v>4.0999999999999996</v>
      </c>
      <c r="H320">
        <v>2023</v>
      </c>
      <c r="I320" t="s">
        <v>1065</v>
      </c>
      <c r="J320" t="s">
        <v>1087</v>
      </c>
      <c r="K320">
        <v>4</v>
      </c>
      <c r="L320" t="s">
        <v>1054</v>
      </c>
      <c r="M320">
        <v>6</v>
      </c>
    </row>
    <row r="321" spans="1:13" x14ac:dyDescent="0.3">
      <c r="A321" t="s">
        <v>564</v>
      </c>
      <c r="B321" t="s">
        <v>8</v>
      </c>
      <c r="C321">
        <v>147</v>
      </c>
      <c r="D321" t="s">
        <v>10</v>
      </c>
      <c r="E321" s="32">
        <v>45088</v>
      </c>
      <c r="F321">
        <v>82</v>
      </c>
      <c r="G321">
        <v>4.4000000000000004</v>
      </c>
      <c r="H321">
        <v>2023</v>
      </c>
      <c r="I321" t="s">
        <v>1065</v>
      </c>
      <c r="J321" t="s">
        <v>1089</v>
      </c>
      <c r="K321">
        <v>4</v>
      </c>
      <c r="L321" t="s">
        <v>1054</v>
      </c>
      <c r="M321">
        <v>6</v>
      </c>
    </row>
    <row r="322" spans="1:13" x14ac:dyDescent="0.3">
      <c r="A322" t="s">
        <v>569</v>
      </c>
      <c r="B322" t="s">
        <v>19</v>
      </c>
      <c r="C322">
        <v>158</v>
      </c>
      <c r="D322" t="s">
        <v>11</v>
      </c>
      <c r="E322" s="32">
        <v>45091</v>
      </c>
      <c r="F322">
        <v>190</v>
      </c>
      <c r="G322">
        <v>4</v>
      </c>
      <c r="H322">
        <v>2023</v>
      </c>
      <c r="I322" t="s">
        <v>1068</v>
      </c>
      <c r="J322" t="s">
        <v>1089</v>
      </c>
      <c r="K322">
        <v>4</v>
      </c>
      <c r="L322" t="s">
        <v>1054</v>
      </c>
      <c r="M322">
        <v>6</v>
      </c>
    </row>
    <row r="323" spans="1:13" x14ac:dyDescent="0.3">
      <c r="A323" t="s">
        <v>570</v>
      </c>
      <c r="B323" t="s">
        <v>18</v>
      </c>
      <c r="C323">
        <v>159</v>
      </c>
      <c r="D323" t="s">
        <v>9</v>
      </c>
      <c r="E323" s="32">
        <v>45091</v>
      </c>
      <c r="F323">
        <v>66</v>
      </c>
      <c r="G323">
        <v>3.4</v>
      </c>
      <c r="H323">
        <v>2023</v>
      </c>
      <c r="I323" t="s">
        <v>1068</v>
      </c>
      <c r="J323" t="s">
        <v>1089</v>
      </c>
      <c r="K323">
        <v>3</v>
      </c>
      <c r="L323" t="s">
        <v>1054</v>
      </c>
      <c r="M323">
        <v>6</v>
      </c>
    </row>
    <row r="324" spans="1:13" x14ac:dyDescent="0.3">
      <c r="A324" t="s">
        <v>572</v>
      </c>
      <c r="B324" t="s">
        <v>16</v>
      </c>
      <c r="C324">
        <v>78</v>
      </c>
      <c r="D324" t="s">
        <v>13</v>
      </c>
      <c r="E324" s="32">
        <v>45092</v>
      </c>
      <c r="F324">
        <v>28</v>
      </c>
      <c r="G324">
        <v>3.9</v>
      </c>
      <c r="H324">
        <v>2023</v>
      </c>
      <c r="I324" t="s">
        <v>1066</v>
      </c>
      <c r="J324" t="s">
        <v>1087</v>
      </c>
      <c r="K324">
        <v>4</v>
      </c>
      <c r="L324" t="s">
        <v>1054</v>
      </c>
      <c r="M324">
        <v>6</v>
      </c>
    </row>
    <row r="325" spans="1:13" x14ac:dyDescent="0.3">
      <c r="A325" t="s">
        <v>573</v>
      </c>
      <c r="B325" t="s">
        <v>8</v>
      </c>
      <c r="C325">
        <v>103</v>
      </c>
      <c r="D325" t="s">
        <v>6</v>
      </c>
      <c r="E325" s="32">
        <v>45092</v>
      </c>
      <c r="F325">
        <v>120</v>
      </c>
      <c r="G325">
        <v>5</v>
      </c>
      <c r="H325">
        <v>2023</v>
      </c>
      <c r="I325" t="s">
        <v>1066</v>
      </c>
      <c r="J325" t="s">
        <v>1087</v>
      </c>
      <c r="K325">
        <v>5</v>
      </c>
      <c r="L325" t="s">
        <v>1054</v>
      </c>
      <c r="M325">
        <v>6</v>
      </c>
    </row>
    <row r="326" spans="1:13" x14ac:dyDescent="0.3">
      <c r="A326" t="s">
        <v>576</v>
      </c>
      <c r="B326" t="s">
        <v>16</v>
      </c>
      <c r="C326">
        <v>127</v>
      </c>
      <c r="D326" t="s">
        <v>11</v>
      </c>
      <c r="E326" s="32">
        <v>45093</v>
      </c>
      <c r="F326">
        <v>200</v>
      </c>
      <c r="G326">
        <v>4.8</v>
      </c>
      <c r="H326">
        <v>2023</v>
      </c>
      <c r="I326" t="s">
        <v>1062</v>
      </c>
      <c r="J326" t="s">
        <v>1089</v>
      </c>
      <c r="K326">
        <v>5</v>
      </c>
      <c r="L326" t="s">
        <v>1054</v>
      </c>
      <c r="M326">
        <v>6</v>
      </c>
    </row>
    <row r="327" spans="1:13" x14ac:dyDescent="0.3">
      <c r="A327" t="s">
        <v>577</v>
      </c>
      <c r="B327" t="s">
        <v>8</v>
      </c>
      <c r="C327">
        <v>132</v>
      </c>
      <c r="D327" t="s">
        <v>6</v>
      </c>
      <c r="E327" s="32">
        <v>45094</v>
      </c>
      <c r="F327">
        <v>50</v>
      </c>
      <c r="G327">
        <v>4.2</v>
      </c>
      <c r="H327">
        <v>2023</v>
      </c>
      <c r="I327" t="s">
        <v>1064</v>
      </c>
      <c r="J327" t="s">
        <v>1089</v>
      </c>
      <c r="K327">
        <v>4</v>
      </c>
      <c r="L327" t="s">
        <v>1054</v>
      </c>
      <c r="M327">
        <v>6</v>
      </c>
    </row>
    <row r="328" spans="1:13" x14ac:dyDescent="0.3">
      <c r="A328" t="s">
        <v>579</v>
      </c>
      <c r="B328" t="s">
        <v>5</v>
      </c>
      <c r="C328">
        <v>107</v>
      </c>
      <c r="D328" t="s">
        <v>6</v>
      </c>
      <c r="E328" s="32">
        <v>45095</v>
      </c>
      <c r="F328">
        <v>39</v>
      </c>
      <c r="G328">
        <v>4.8</v>
      </c>
      <c r="H328">
        <v>2023</v>
      </c>
      <c r="I328" t="s">
        <v>1065</v>
      </c>
      <c r="J328" t="s">
        <v>1087</v>
      </c>
      <c r="K328">
        <v>5</v>
      </c>
      <c r="L328" t="s">
        <v>1054</v>
      </c>
      <c r="M328">
        <v>6</v>
      </c>
    </row>
    <row r="329" spans="1:13" x14ac:dyDescent="0.3">
      <c r="A329" t="s">
        <v>580</v>
      </c>
      <c r="B329" t="s">
        <v>18</v>
      </c>
      <c r="C329">
        <v>85</v>
      </c>
      <c r="D329" t="s">
        <v>13</v>
      </c>
      <c r="E329" s="32">
        <v>45095</v>
      </c>
      <c r="F329">
        <v>38</v>
      </c>
      <c r="G329">
        <v>4.8</v>
      </c>
      <c r="H329">
        <v>2023</v>
      </c>
      <c r="I329" t="s">
        <v>1065</v>
      </c>
      <c r="J329" t="s">
        <v>1087</v>
      </c>
      <c r="K329">
        <v>5</v>
      </c>
      <c r="L329" t="s">
        <v>1054</v>
      </c>
      <c r="M329">
        <v>6</v>
      </c>
    </row>
    <row r="330" spans="1:13" x14ac:dyDescent="0.3">
      <c r="A330" t="s">
        <v>581</v>
      </c>
      <c r="B330" t="s">
        <v>15</v>
      </c>
      <c r="C330">
        <v>49</v>
      </c>
      <c r="D330" t="s">
        <v>6</v>
      </c>
      <c r="E330" s="32">
        <v>45096</v>
      </c>
      <c r="F330">
        <v>84</v>
      </c>
      <c r="G330">
        <v>2.9</v>
      </c>
      <c r="H330">
        <v>2023</v>
      </c>
      <c r="I330" t="s">
        <v>1063</v>
      </c>
      <c r="J330" t="s">
        <v>1088</v>
      </c>
      <c r="K330">
        <v>3</v>
      </c>
      <c r="L330" t="s">
        <v>1054</v>
      </c>
      <c r="M330">
        <v>6</v>
      </c>
    </row>
    <row r="331" spans="1:13" x14ac:dyDescent="0.3">
      <c r="A331" t="s">
        <v>583</v>
      </c>
      <c r="B331" t="s">
        <v>5</v>
      </c>
      <c r="C331">
        <v>136</v>
      </c>
      <c r="D331" t="s">
        <v>13</v>
      </c>
      <c r="E331" s="32">
        <v>45097</v>
      </c>
      <c r="F331">
        <v>37</v>
      </c>
      <c r="G331">
        <v>0.9</v>
      </c>
      <c r="H331">
        <v>2023</v>
      </c>
      <c r="I331" t="s">
        <v>1067</v>
      </c>
      <c r="J331" t="s">
        <v>1089</v>
      </c>
      <c r="K331">
        <v>1</v>
      </c>
      <c r="L331" t="s">
        <v>1054</v>
      </c>
      <c r="M331">
        <v>6</v>
      </c>
    </row>
    <row r="332" spans="1:13" x14ac:dyDescent="0.3">
      <c r="A332" t="s">
        <v>586</v>
      </c>
      <c r="B332" t="s">
        <v>15</v>
      </c>
      <c r="C332">
        <v>80</v>
      </c>
      <c r="D332" t="s">
        <v>6</v>
      </c>
      <c r="E332" s="32">
        <v>45098</v>
      </c>
      <c r="F332">
        <v>32</v>
      </c>
      <c r="G332">
        <v>4.7</v>
      </c>
      <c r="H332">
        <v>2023</v>
      </c>
      <c r="I332" t="s">
        <v>1068</v>
      </c>
      <c r="J332" t="s">
        <v>1087</v>
      </c>
      <c r="K332">
        <v>5</v>
      </c>
      <c r="L332" t="s">
        <v>1054</v>
      </c>
      <c r="M332">
        <v>6</v>
      </c>
    </row>
    <row r="333" spans="1:13" x14ac:dyDescent="0.3">
      <c r="A333" t="s">
        <v>589</v>
      </c>
      <c r="B333" t="s">
        <v>19</v>
      </c>
      <c r="C333">
        <v>74</v>
      </c>
      <c r="D333" t="s">
        <v>10</v>
      </c>
      <c r="E333" s="32">
        <v>45098</v>
      </c>
      <c r="F333">
        <v>117</v>
      </c>
      <c r="G333">
        <v>4.8</v>
      </c>
      <c r="H333">
        <v>2023</v>
      </c>
      <c r="I333" t="s">
        <v>1068</v>
      </c>
      <c r="J333" t="s">
        <v>1087</v>
      </c>
      <c r="K333">
        <v>5</v>
      </c>
      <c r="L333" t="s">
        <v>1054</v>
      </c>
      <c r="M333">
        <v>6</v>
      </c>
    </row>
    <row r="334" spans="1:13" x14ac:dyDescent="0.3">
      <c r="A334" t="s">
        <v>590</v>
      </c>
      <c r="B334" t="s">
        <v>15</v>
      </c>
      <c r="C334">
        <v>52</v>
      </c>
      <c r="D334" t="s">
        <v>11</v>
      </c>
      <c r="E334" s="32">
        <v>45100</v>
      </c>
      <c r="F334">
        <v>70</v>
      </c>
      <c r="G334">
        <v>4.0999999999999996</v>
      </c>
      <c r="H334">
        <v>2023</v>
      </c>
      <c r="I334" t="s">
        <v>1062</v>
      </c>
      <c r="J334" t="s">
        <v>1088</v>
      </c>
      <c r="K334">
        <v>4</v>
      </c>
      <c r="L334" t="s">
        <v>1054</v>
      </c>
      <c r="M334">
        <v>6</v>
      </c>
    </row>
    <row r="335" spans="1:13" x14ac:dyDescent="0.3">
      <c r="A335" t="s">
        <v>591</v>
      </c>
      <c r="B335" t="s">
        <v>15</v>
      </c>
      <c r="C335">
        <v>74</v>
      </c>
      <c r="D335" t="s">
        <v>9</v>
      </c>
      <c r="E335" s="32">
        <v>45100</v>
      </c>
      <c r="F335">
        <v>37</v>
      </c>
      <c r="G335">
        <v>2.7</v>
      </c>
      <c r="H335">
        <v>2023</v>
      </c>
      <c r="I335" t="s">
        <v>1062</v>
      </c>
      <c r="J335" t="s">
        <v>1087</v>
      </c>
      <c r="K335">
        <v>3</v>
      </c>
      <c r="L335" t="s">
        <v>1054</v>
      </c>
      <c r="M335">
        <v>6</v>
      </c>
    </row>
    <row r="336" spans="1:13" x14ac:dyDescent="0.3">
      <c r="A336" t="s">
        <v>593</v>
      </c>
      <c r="B336" t="s">
        <v>14</v>
      </c>
      <c r="C336">
        <v>104</v>
      </c>
      <c r="D336" t="s">
        <v>6</v>
      </c>
      <c r="E336" s="32">
        <v>45100</v>
      </c>
      <c r="F336">
        <v>136</v>
      </c>
      <c r="G336">
        <v>5</v>
      </c>
      <c r="H336">
        <v>2023</v>
      </c>
      <c r="I336" t="s">
        <v>1062</v>
      </c>
      <c r="J336" t="s">
        <v>1087</v>
      </c>
      <c r="K336">
        <v>5</v>
      </c>
      <c r="L336" t="s">
        <v>1054</v>
      </c>
      <c r="M336">
        <v>6</v>
      </c>
    </row>
    <row r="337" spans="1:13" x14ac:dyDescent="0.3">
      <c r="A337" t="s">
        <v>595</v>
      </c>
      <c r="B337" t="s">
        <v>22</v>
      </c>
      <c r="C337">
        <v>100</v>
      </c>
      <c r="D337" t="s">
        <v>13</v>
      </c>
      <c r="E337" s="32">
        <v>45101</v>
      </c>
      <c r="F337">
        <v>69</v>
      </c>
      <c r="G337">
        <v>3</v>
      </c>
      <c r="H337">
        <v>2023</v>
      </c>
      <c r="I337" t="s">
        <v>1064</v>
      </c>
      <c r="J337" t="s">
        <v>1087</v>
      </c>
      <c r="K337">
        <v>3</v>
      </c>
      <c r="L337" t="s">
        <v>1054</v>
      </c>
      <c r="M337">
        <v>6</v>
      </c>
    </row>
    <row r="338" spans="1:13" x14ac:dyDescent="0.3">
      <c r="A338" t="s">
        <v>596</v>
      </c>
      <c r="B338" t="s">
        <v>14</v>
      </c>
      <c r="C338">
        <v>35</v>
      </c>
      <c r="D338" t="s">
        <v>11</v>
      </c>
      <c r="E338" s="32">
        <v>45102</v>
      </c>
      <c r="F338">
        <v>86</v>
      </c>
      <c r="G338">
        <v>4.5999999999999996</v>
      </c>
      <c r="H338">
        <v>2023</v>
      </c>
      <c r="I338" t="s">
        <v>1065</v>
      </c>
      <c r="J338" t="s">
        <v>1088</v>
      </c>
      <c r="K338">
        <v>5</v>
      </c>
      <c r="L338" t="s">
        <v>1054</v>
      </c>
      <c r="M338">
        <v>6</v>
      </c>
    </row>
    <row r="339" spans="1:13" x14ac:dyDescent="0.3">
      <c r="A339" t="s">
        <v>597</v>
      </c>
      <c r="B339" t="s">
        <v>15</v>
      </c>
      <c r="C339">
        <v>123</v>
      </c>
      <c r="D339" t="s">
        <v>6</v>
      </c>
      <c r="E339" s="32">
        <v>45102</v>
      </c>
      <c r="F339">
        <v>68</v>
      </c>
      <c r="G339">
        <v>4.5</v>
      </c>
      <c r="H339">
        <v>2023</v>
      </c>
      <c r="I339" t="s">
        <v>1065</v>
      </c>
      <c r="J339" t="s">
        <v>1089</v>
      </c>
      <c r="K339">
        <v>5</v>
      </c>
      <c r="L339" t="s">
        <v>1054</v>
      </c>
      <c r="M339">
        <v>6</v>
      </c>
    </row>
    <row r="340" spans="1:13" x14ac:dyDescent="0.3">
      <c r="A340" t="s">
        <v>600</v>
      </c>
      <c r="B340" t="s">
        <v>15</v>
      </c>
      <c r="C340">
        <v>39</v>
      </c>
      <c r="D340" t="s">
        <v>10</v>
      </c>
      <c r="E340" s="32">
        <v>45103</v>
      </c>
      <c r="F340">
        <v>176</v>
      </c>
      <c r="G340">
        <v>4.3</v>
      </c>
      <c r="H340">
        <v>2023</v>
      </c>
      <c r="I340" t="s">
        <v>1063</v>
      </c>
      <c r="J340" t="s">
        <v>1088</v>
      </c>
      <c r="K340">
        <v>4</v>
      </c>
      <c r="L340" t="s">
        <v>1054</v>
      </c>
      <c r="M340">
        <v>6</v>
      </c>
    </row>
    <row r="341" spans="1:13" x14ac:dyDescent="0.3">
      <c r="A341" t="s">
        <v>601</v>
      </c>
      <c r="B341" t="s">
        <v>19</v>
      </c>
      <c r="C341">
        <v>31</v>
      </c>
      <c r="D341" t="s">
        <v>6</v>
      </c>
      <c r="E341" s="32">
        <v>45103</v>
      </c>
      <c r="F341">
        <v>172</v>
      </c>
      <c r="G341">
        <v>3.9</v>
      </c>
      <c r="H341">
        <v>2023</v>
      </c>
      <c r="I341" t="s">
        <v>1063</v>
      </c>
      <c r="J341" t="s">
        <v>1088</v>
      </c>
      <c r="K341">
        <v>4</v>
      </c>
      <c r="L341" t="s">
        <v>1054</v>
      </c>
      <c r="M341">
        <v>6</v>
      </c>
    </row>
    <row r="342" spans="1:13" x14ac:dyDescent="0.3">
      <c r="A342" t="s">
        <v>602</v>
      </c>
      <c r="B342" t="s">
        <v>8</v>
      </c>
      <c r="C342">
        <v>25</v>
      </c>
      <c r="D342" t="s">
        <v>11</v>
      </c>
      <c r="E342" s="32">
        <v>45103</v>
      </c>
      <c r="F342">
        <v>84</v>
      </c>
      <c r="G342">
        <v>4.5</v>
      </c>
      <c r="H342">
        <v>2023</v>
      </c>
      <c r="I342" t="s">
        <v>1063</v>
      </c>
      <c r="J342" t="s">
        <v>1091</v>
      </c>
      <c r="K342">
        <v>5</v>
      </c>
      <c r="L342" t="s">
        <v>1054</v>
      </c>
      <c r="M342">
        <v>6</v>
      </c>
    </row>
    <row r="343" spans="1:13" x14ac:dyDescent="0.3">
      <c r="A343" t="s">
        <v>604</v>
      </c>
      <c r="B343" t="s">
        <v>14</v>
      </c>
      <c r="C343">
        <v>63</v>
      </c>
      <c r="D343" t="s">
        <v>9</v>
      </c>
      <c r="E343" s="32">
        <v>45104</v>
      </c>
      <c r="F343">
        <v>70</v>
      </c>
      <c r="G343">
        <v>1.6</v>
      </c>
      <c r="H343">
        <v>2023</v>
      </c>
      <c r="I343" t="s">
        <v>1067</v>
      </c>
      <c r="J343" t="s">
        <v>1087</v>
      </c>
      <c r="K343">
        <v>2</v>
      </c>
      <c r="L343" t="s">
        <v>1054</v>
      </c>
      <c r="M343">
        <v>6</v>
      </c>
    </row>
    <row r="344" spans="1:13" x14ac:dyDescent="0.3">
      <c r="A344" t="s">
        <v>605</v>
      </c>
      <c r="B344" t="s">
        <v>22</v>
      </c>
      <c r="C344">
        <v>135</v>
      </c>
      <c r="D344" t="s">
        <v>13</v>
      </c>
      <c r="E344" s="32">
        <v>45104</v>
      </c>
      <c r="F344">
        <v>60</v>
      </c>
      <c r="G344">
        <v>4.3</v>
      </c>
      <c r="H344">
        <v>2023</v>
      </c>
      <c r="I344" t="s">
        <v>1067</v>
      </c>
      <c r="J344" t="s">
        <v>1089</v>
      </c>
      <c r="K344">
        <v>4</v>
      </c>
      <c r="L344" t="s">
        <v>1054</v>
      </c>
      <c r="M344">
        <v>6</v>
      </c>
    </row>
    <row r="345" spans="1:13" x14ac:dyDescent="0.3">
      <c r="A345" t="s">
        <v>606</v>
      </c>
      <c r="B345" t="s">
        <v>18</v>
      </c>
      <c r="C345">
        <v>101</v>
      </c>
      <c r="D345" t="s">
        <v>9</v>
      </c>
      <c r="E345" s="32">
        <v>45104</v>
      </c>
      <c r="F345">
        <v>84</v>
      </c>
      <c r="G345">
        <v>3.5</v>
      </c>
      <c r="H345">
        <v>2023</v>
      </c>
      <c r="I345" t="s">
        <v>1067</v>
      </c>
      <c r="J345" t="s">
        <v>1087</v>
      </c>
      <c r="K345">
        <v>4</v>
      </c>
      <c r="L345" t="s">
        <v>1054</v>
      </c>
      <c r="M345">
        <v>6</v>
      </c>
    </row>
    <row r="346" spans="1:13" x14ac:dyDescent="0.3">
      <c r="A346" t="s">
        <v>609</v>
      </c>
      <c r="B346" t="s">
        <v>18</v>
      </c>
      <c r="C346">
        <v>102</v>
      </c>
      <c r="D346" t="s">
        <v>13</v>
      </c>
      <c r="E346" s="32">
        <v>45106</v>
      </c>
      <c r="F346">
        <v>99</v>
      </c>
      <c r="G346">
        <v>3.2</v>
      </c>
      <c r="H346">
        <v>2023</v>
      </c>
      <c r="I346" t="s">
        <v>1066</v>
      </c>
      <c r="J346" t="s">
        <v>1087</v>
      </c>
      <c r="K346">
        <v>3</v>
      </c>
      <c r="L346" t="s">
        <v>1054</v>
      </c>
      <c r="M346">
        <v>6</v>
      </c>
    </row>
    <row r="347" spans="1:13" x14ac:dyDescent="0.3">
      <c r="A347" t="s">
        <v>610</v>
      </c>
      <c r="B347" t="s">
        <v>14</v>
      </c>
      <c r="C347">
        <v>60</v>
      </c>
      <c r="D347" t="s">
        <v>13</v>
      </c>
      <c r="E347" s="32">
        <v>45107</v>
      </c>
      <c r="F347">
        <v>66</v>
      </c>
      <c r="G347">
        <v>3.2</v>
      </c>
      <c r="H347">
        <v>2023</v>
      </c>
      <c r="I347" t="s">
        <v>1062</v>
      </c>
      <c r="J347" t="s">
        <v>1088</v>
      </c>
      <c r="K347">
        <v>3</v>
      </c>
      <c r="L347" t="s">
        <v>1054</v>
      </c>
      <c r="M347">
        <v>6</v>
      </c>
    </row>
    <row r="348" spans="1:13" x14ac:dyDescent="0.3">
      <c r="A348" t="s">
        <v>611</v>
      </c>
      <c r="B348" t="s">
        <v>21</v>
      </c>
      <c r="C348">
        <v>103</v>
      </c>
      <c r="D348" t="s">
        <v>13</v>
      </c>
      <c r="E348" s="32">
        <v>45107</v>
      </c>
      <c r="F348">
        <v>102</v>
      </c>
      <c r="G348">
        <v>4.5</v>
      </c>
      <c r="H348">
        <v>2023</v>
      </c>
      <c r="I348" t="s">
        <v>1062</v>
      </c>
      <c r="J348" t="s">
        <v>1087</v>
      </c>
      <c r="K348">
        <v>5</v>
      </c>
      <c r="L348" t="s">
        <v>1054</v>
      </c>
      <c r="M348">
        <v>6</v>
      </c>
    </row>
    <row r="349" spans="1:13" x14ac:dyDescent="0.3">
      <c r="A349" t="s">
        <v>613</v>
      </c>
      <c r="B349" t="s">
        <v>16</v>
      </c>
      <c r="C349">
        <v>88</v>
      </c>
      <c r="D349" t="s">
        <v>13</v>
      </c>
      <c r="E349" s="32">
        <v>45108</v>
      </c>
      <c r="F349">
        <v>80</v>
      </c>
      <c r="G349">
        <v>4.2</v>
      </c>
      <c r="H349">
        <v>2024</v>
      </c>
      <c r="I349" t="s">
        <v>1064</v>
      </c>
      <c r="J349" t="s">
        <v>1087</v>
      </c>
      <c r="K349">
        <v>4</v>
      </c>
      <c r="L349" t="s">
        <v>1055</v>
      </c>
      <c r="M349">
        <v>7</v>
      </c>
    </row>
    <row r="350" spans="1:13" x14ac:dyDescent="0.3">
      <c r="A350" t="s">
        <v>614</v>
      </c>
      <c r="B350" t="s">
        <v>21</v>
      </c>
      <c r="C350">
        <v>37</v>
      </c>
      <c r="D350" t="s">
        <v>13</v>
      </c>
      <c r="E350" s="32">
        <v>45108</v>
      </c>
      <c r="F350">
        <v>54</v>
      </c>
      <c r="G350">
        <v>1.8</v>
      </c>
      <c r="H350">
        <v>2024</v>
      </c>
      <c r="I350" t="s">
        <v>1064</v>
      </c>
      <c r="J350" t="s">
        <v>1088</v>
      </c>
      <c r="K350">
        <v>2</v>
      </c>
      <c r="L350" t="s">
        <v>1055</v>
      </c>
      <c r="M350">
        <v>7</v>
      </c>
    </row>
    <row r="351" spans="1:13" x14ac:dyDescent="0.3">
      <c r="A351" t="s">
        <v>618</v>
      </c>
      <c r="B351" t="s">
        <v>14</v>
      </c>
      <c r="C351">
        <v>110</v>
      </c>
      <c r="D351" t="s">
        <v>9</v>
      </c>
      <c r="E351" s="32">
        <v>45109</v>
      </c>
      <c r="F351">
        <v>104</v>
      </c>
      <c r="G351">
        <v>4.4000000000000004</v>
      </c>
      <c r="H351">
        <v>2024</v>
      </c>
      <c r="I351" t="s">
        <v>1065</v>
      </c>
      <c r="J351" t="s">
        <v>1087</v>
      </c>
      <c r="K351">
        <v>4</v>
      </c>
      <c r="L351" t="s">
        <v>1055</v>
      </c>
      <c r="M351">
        <v>7</v>
      </c>
    </row>
    <row r="352" spans="1:13" x14ac:dyDescent="0.3">
      <c r="A352" t="s">
        <v>620</v>
      </c>
      <c r="B352" t="s">
        <v>18</v>
      </c>
      <c r="C352">
        <v>109</v>
      </c>
      <c r="D352" t="s">
        <v>6</v>
      </c>
      <c r="E352" s="32">
        <v>45111</v>
      </c>
      <c r="F352">
        <v>140</v>
      </c>
      <c r="G352">
        <v>2.4</v>
      </c>
      <c r="H352">
        <v>2024</v>
      </c>
      <c r="I352" t="s">
        <v>1067</v>
      </c>
      <c r="J352" t="s">
        <v>1087</v>
      </c>
      <c r="K352">
        <v>2</v>
      </c>
      <c r="L352" t="s">
        <v>1055</v>
      </c>
      <c r="M352">
        <v>7</v>
      </c>
    </row>
    <row r="353" spans="1:13" x14ac:dyDescent="0.3">
      <c r="A353" t="s">
        <v>622</v>
      </c>
      <c r="B353" t="s">
        <v>18</v>
      </c>
      <c r="C353">
        <v>68</v>
      </c>
      <c r="D353" t="s">
        <v>13</v>
      </c>
      <c r="E353" s="32">
        <v>45112</v>
      </c>
      <c r="F353">
        <v>41</v>
      </c>
      <c r="G353">
        <v>3.1</v>
      </c>
      <c r="H353">
        <v>2024</v>
      </c>
      <c r="I353" t="s">
        <v>1068</v>
      </c>
      <c r="J353" t="s">
        <v>1087</v>
      </c>
      <c r="K353">
        <v>3</v>
      </c>
      <c r="L353" t="s">
        <v>1055</v>
      </c>
      <c r="M353">
        <v>7</v>
      </c>
    </row>
    <row r="354" spans="1:13" x14ac:dyDescent="0.3">
      <c r="A354" t="s">
        <v>623</v>
      </c>
      <c r="B354" t="s">
        <v>8</v>
      </c>
      <c r="C354">
        <v>128</v>
      </c>
      <c r="D354" t="s">
        <v>13</v>
      </c>
      <c r="E354" s="32">
        <v>45112</v>
      </c>
      <c r="F354">
        <v>116</v>
      </c>
      <c r="G354">
        <v>2.2999999999999998</v>
      </c>
      <c r="H354">
        <v>2024</v>
      </c>
      <c r="I354" t="s">
        <v>1068</v>
      </c>
      <c r="J354" t="s">
        <v>1089</v>
      </c>
      <c r="K354">
        <v>2</v>
      </c>
      <c r="L354" t="s">
        <v>1055</v>
      </c>
      <c r="M354">
        <v>7</v>
      </c>
    </row>
    <row r="355" spans="1:13" x14ac:dyDescent="0.3">
      <c r="A355" t="s">
        <v>626</v>
      </c>
      <c r="B355" t="s">
        <v>8</v>
      </c>
      <c r="C355">
        <v>55</v>
      </c>
      <c r="D355" t="s">
        <v>9</v>
      </c>
      <c r="E355" s="32">
        <v>45114</v>
      </c>
      <c r="F355">
        <v>112</v>
      </c>
      <c r="G355">
        <v>4.5</v>
      </c>
      <c r="H355">
        <v>2024</v>
      </c>
      <c r="I355" t="s">
        <v>1062</v>
      </c>
      <c r="J355" t="s">
        <v>1088</v>
      </c>
      <c r="K355">
        <v>5</v>
      </c>
      <c r="L355" t="s">
        <v>1055</v>
      </c>
      <c r="M355">
        <v>7</v>
      </c>
    </row>
    <row r="356" spans="1:13" x14ac:dyDescent="0.3">
      <c r="A356" t="s">
        <v>627</v>
      </c>
      <c r="B356" t="s">
        <v>21</v>
      </c>
      <c r="C356">
        <v>107</v>
      </c>
      <c r="D356" t="s">
        <v>13</v>
      </c>
      <c r="E356" s="32">
        <v>45114</v>
      </c>
      <c r="F356">
        <v>20</v>
      </c>
      <c r="G356">
        <v>4.5</v>
      </c>
      <c r="H356">
        <v>2024</v>
      </c>
      <c r="I356" t="s">
        <v>1062</v>
      </c>
      <c r="J356" t="s">
        <v>1087</v>
      </c>
      <c r="K356">
        <v>5</v>
      </c>
      <c r="L356" t="s">
        <v>1055</v>
      </c>
      <c r="M356">
        <v>7</v>
      </c>
    </row>
    <row r="357" spans="1:13" x14ac:dyDescent="0.3">
      <c r="A357" t="s">
        <v>629</v>
      </c>
      <c r="B357" t="s">
        <v>15</v>
      </c>
      <c r="C357">
        <v>49</v>
      </c>
      <c r="D357" t="s">
        <v>11</v>
      </c>
      <c r="E357" s="32">
        <v>45115</v>
      </c>
      <c r="F357">
        <v>39</v>
      </c>
      <c r="G357">
        <v>4.5999999999999996</v>
      </c>
      <c r="H357">
        <v>2024</v>
      </c>
      <c r="I357" t="s">
        <v>1064</v>
      </c>
      <c r="J357" t="s">
        <v>1088</v>
      </c>
      <c r="K357">
        <v>5</v>
      </c>
      <c r="L357" t="s">
        <v>1055</v>
      </c>
      <c r="M357">
        <v>7</v>
      </c>
    </row>
    <row r="358" spans="1:13" x14ac:dyDescent="0.3">
      <c r="A358" t="s">
        <v>634</v>
      </c>
      <c r="B358" t="s">
        <v>22</v>
      </c>
      <c r="C358">
        <v>98</v>
      </c>
      <c r="D358" t="s">
        <v>6</v>
      </c>
      <c r="E358" s="32">
        <v>45117</v>
      </c>
      <c r="F358">
        <v>130</v>
      </c>
      <c r="G358">
        <v>3.4</v>
      </c>
      <c r="H358">
        <v>2024</v>
      </c>
      <c r="I358" t="s">
        <v>1063</v>
      </c>
      <c r="J358" t="s">
        <v>1087</v>
      </c>
      <c r="K358">
        <v>3</v>
      </c>
      <c r="L358" t="s">
        <v>1055</v>
      </c>
      <c r="M358">
        <v>7</v>
      </c>
    </row>
    <row r="359" spans="1:13" x14ac:dyDescent="0.3">
      <c r="A359" t="s">
        <v>635</v>
      </c>
      <c r="B359" t="s">
        <v>19</v>
      </c>
      <c r="C359">
        <v>52</v>
      </c>
      <c r="D359" t="s">
        <v>6</v>
      </c>
      <c r="E359" s="32">
        <v>45117</v>
      </c>
      <c r="F359">
        <v>190</v>
      </c>
      <c r="G359">
        <v>3.3</v>
      </c>
      <c r="H359">
        <v>2024</v>
      </c>
      <c r="I359" t="s">
        <v>1063</v>
      </c>
      <c r="J359" t="s">
        <v>1088</v>
      </c>
      <c r="K359">
        <v>3</v>
      </c>
      <c r="L359" t="s">
        <v>1055</v>
      </c>
      <c r="M359">
        <v>7</v>
      </c>
    </row>
    <row r="360" spans="1:13" x14ac:dyDescent="0.3">
      <c r="A360" t="s">
        <v>636</v>
      </c>
      <c r="B360" t="s">
        <v>8</v>
      </c>
      <c r="C360">
        <v>154</v>
      </c>
      <c r="D360" t="s">
        <v>11</v>
      </c>
      <c r="E360" s="32">
        <v>45117</v>
      </c>
      <c r="F360">
        <v>164</v>
      </c>
      <c r="G360">
        <v>4.9000000000000004</v>
      </c>
      <c r="H360">
        <v>2024</v>
      </c>
      <c r="I360" t="s">
        <v>1063</v>
      </c>
      <c r="J360" t="s">
        <v>1089</v>
      </c>
      <c r="K360">
        <v>5</v>
      </c>
      <c r="L360" t="s">
        <v>1055</v>
      </c>
      <c r="M360">
        <v>7</v>
      </c>
    </row>
    <row r="361" spans="1:13" x14ac:dyDescent="0.3">
      <c r="A361" t="s">
        <v>637</v>
      </c>
      <c r="B361" t="s">
        <v>5</v>
      </c>
      <c r="C361">
        <v>131</v>
      </c>
      <c r="D361" t="s">
        <v>9</v>
      </c>
      <c r="E361" s="32">
        <v>45118</v>
      </c>
      <c r="F361">
        <v>76</v>
      </c>
      <c r="G361">
        <v>4.5</v>
      </c>
      <c r="H361">
        <v>2024</v>
      </c>
      <c r="I361" t="s">
        <v>1067</v>
      </c>
      <c r="J361" t="s">
        <v>1089</v>
      </c>
      <c r="K361">
        <v>5</v>
      </c>
      <c r="L361" t="s">
        <v>1055</v>
      </c>
      <c r="M361">
        <v>7</v>
      </c>
    </row>
    <row r="362" spans="1:13" x14ac:dyDescent="0.3">
      <c r="A362" t="s">
        <v>639</v>
      </c>
      <c r="B362" t="s">
        <v>14</v>
      </c>
      <c r="C362">
        <v>45</v>
      </c>
      <c r="D362" t="s">
        <v>6</v>
      </c>
      <c r="E362" s="32">
        <v>45119</v>
      </c>
      <c r="F362">
        <v>84</v>
      </c>
      <c r="G362">
        <v>4.8</v>
      </c>
      <c r="H362">
        <v>2024</v>
      </c>
      <c r="I362" t="s">
        <v>1068</v>
      </c>
      <c r="J362" t="s">
        <v>1088</v>
      </c>
      <c r="K362">
        <v>5</v>
      </c>
      <c r="L362" t="s">
        <v>1055</v>
      </c>
      <c r="M362">
        <v>7</v>
      </c>
    </row>
    <row r="363" spans="1:13" x14ac:dyDescent="0.3">
      <c r="A363" t="s">
        <v>641</v>
      </c>
      <c r="B363" t="s">
        <v>22</v>
      </c>
      <c r="C363">
        <v>69</v>
      </c>
      <c r="D363" t="s">
        <v>9</v>
      </c>
      <c r="E363" s="32">
        <v>45120</v>
      </c>
      <c r="F363">
        <v>56</v>
      </c>
      <c r="G363">
        <v>3.9</v>
      </c>
      <c r="H363">
        <v>2024</v>
      </c>
      <c r="I363" t="s">
        <v>1066</v>
      </c>
      <c r="J363" t="s">
        <v>1087</v>
      </c>
      <c r="K363">
        <v>4</v>
      </c>
      <c r="L363" t="s">
        <v>1055</v>
      </c>
      <c r="M363">
        <v>7</v>
      </c>
    </row>
    <row r="364" spans="1:13" x14ac:dyDescent="0.3">
      <c r="A364" t="s">
        <v>642</v>
      </c>
      <c r="B364" t="s">
        <v>5</v>
      </c>
      <c r="C364">
        <v>33</v>
      </c>
      <c r="D364" t="s">
        <v>11</v>
      </c>
      <c r="E364" s="32">
        <v>45120</v>
      </c>
      <c r="F364">
        <v>27</v>
      </c>
      <c r="G364">
        <v>3.7</v>
      </c>
      <c r="H364">
        <v>2024</v>
      </c>
      <c r="I364" t="s">
        <v>1066</v>
      </c>
      <c r="J364" t="s">
        <v>1088</v>
      </c>
      <c r="K364">
        <v>4</v>
      </c>
      <c r="L364" t="s">
        <v>1055</v>
      </c>
      <c r="M364">
        <v>7</v>
      </c>
    </row>
    <row r="365" spans="1:13" x14ac:dyDescent="0.3">
      <c r="A365" t="s">
        <v>644</v>
      </c>
      <c r="B365" t="s">
        <v>14</v>
      </c>
      <c r="C365">
        <v>168</v>
      </c>
      <c r="D365" t="s">
        <v>11</v>
      </c>
      <c r="E365" s="32">
        <v>45121</v>
      </c>
      <c r="F365">
        <v>72</v>
      </c>
      <c r="G365">
        <v>3.5</v>
      </c>
      <c r="H365">
        <v>2024</v>
      </c>
      <c r="I365" t="s">
        <v>1062</v>
      </c>
      <c r="J365" t="s">
        <v>1089</v>
      </c>
      <c r="K365">
        <v>4</v>
      </c>
      <c r="L365" t="s">
        <v>1055</v>
      </c>
      <c r="M365">
        <v>7</v>
      </c>
    </row>
    <row r="366" spans="1:13" x14ac:dyDescent="0.3">
      <c r="A366" t="s">
        <v>649</v>
      </c>
      <c r="B366" t="s">
        <v>22</v>
      </c>
      <c r="C366">
        <v>123</v>
      </c>
      <c r="D366" t="s">
        <v>13</v>
      </c>
      <c r="E366" s="32">
        <v>45124</v>
      </c>
      <c r="F366">
        <v>80</v>
      </c>
      <c r="G366">
        <v>2.7</v>
      </c>
      <c r="H366">
        <v>2024</v>
      </c>
      <c r="I366" t="s">
        <v>1063</v>
      </c>
      <c r="J366" t="s">
        <v>1089</v>
      </c>
      <c r="K366">
        <v>3</v>
      </c>
      <c r="L366" t="s">
        <v>1055</v>
      </c>
      <c r="M366">
        <v>7</v>
      </c>
    </row>
    <row r="367" spans="1:13" x14ac:dyDescent="0.3">
      <c r="A367" t="s">
        <v>650</v>
      </c>
      <c r="B367" t="s">
        <v>16</v>
      </c>
      <c r="C367">
        <v>105</v>
      </c>
      <c r="D367" t="s">
        <v>13</v>
      </c>
      <c r="E367" s="32">
        <v>45125</v>
      </c>
      <c r="F367">
        <v>176</v>
      </c>
      <c r="G367">
        <v>4.7</v>
      </c>
      <c r="H367">
        <v>2024</v>
      </c>
      <c r="I367" t="s">
        <v>1067</v>
      </c>
      <c r="J367" t="s">
        <v>1087</v>
      </c>
      <c r="K367">
        <v>5</v>
      </c>
      <c r="L367" t="s">
        <v>1055</v>
      </c>
      <c r="M367">
        <v>7</v>
      </c>
    </row>
    <row r="368" spans="1:13" x14ac:dyDescent="0.3">
      <c r="A368" t="s">
        <v>653</v>
      </c>
      <c r="B368" t="s">
        <v>5</v>
      </c>
      <c r="C368">
        <v>109</v>
      </c>
      <c r="D368" t="s">
        <v>10</v>
      </c>
      <c r="E368" s="32">
        <v>45126</v>
      </c>
      <c r="F368">
        <v>132</v>
      </c>
      <c r="G368">
        <v>3.1</v>
      </c>
      <c r="H368">
        <v>2024</v>
      </c>
      <c r="I368" t="s">
        <v>1068</v>
      </c>
      <c r="J368" t="s">
        <v>1087</v>
      </c>
      <c r="K368">
        <v>3</v>
      </c>
      <c r="L368" t="s">
        <v>1055</v>
      </c>
      <c r="M368">
        <v>7</v>
      </c>
    </row>
    <row r="369" spans="1:13" x14ac:dyDescent="0.3">
      <c r="A369" t="s">
        <v>654</v>
      </c>
      <c r="B369" t="s">
        <v>22</v>
      </c>
      <c r="C369">
        <v>172</v>
      </c>
      <c r="D369" t="s">
        <v>11</v>
      </c>
      <c r="E369" s="32">
        <v>45127</v>
      </c>
      <c r="F369">
        <v>27</v>
      </c>
      <c r="G369">
        <v>4.2</v>
      </c>
      <c r="H369">
        <v>2024</v>
      </c>
      <c r="I369" t="s">
        <v>1066</v>
      </c>
      <c r="J369" t="s">
        <v>1089</v>
      </c>
      <c r="K369">
        <v>4</v>
      </c>
      <c r="L369" t="s">
        <v>1055</v>
      </c>
      <c r="M369">
        <v>7</v>
      </c>
    </row>
    <row r="370" spans="1:13" x14ac:dyDescent="0.3">
      <c r="A370" t="s">
        <v>657</v>
      </c>
      <c r="B370" t="s">
        <v>22</v>
      </c>
      <c r="C370">
        <v>41</v>
      </c>
      <c r="D370" t="s">
        <v>13</v>
      </c>
      <c r="E370" s="32">
        <v>45128</v>
      </c>
      <c r="F370">
        <v>112</v>
      </c>
      <c r="G370">
        <v>2.2999999999999998</v>
      </c>
      <c r="H370">
        <v>2024</v>
      </c>
      <c r="I370" t="s">
        <v>1062</v>
      </c>
      <c r="J370" t="s">
        <v>1088</v>
      </c>
      <c r="K370">
        <v>2</v>
      </c>
      <c r="L370" t="s">
        <v>1055</v>
      </c>
      <c r="M370">
        <v>7</v>
      </c>
    </row>
    <row r="371" spans="1:13" x14ac:dyDescent="0.3">
      <c r="A371" t="s">
        <v>658</v>
      </c>
      <c r="B371" t="s">
        <v>21</v>
      </c>
      <c r="C371">
        <v>60</v>
      </c>
      <c r="D371" t="s">
        <v>11</v>
      </c>
      <c r="E371" s="32">
        <v>45128</v>
      </c>
      <c r="F371">
        <v>60</v>
      </c>
      <c r="G371">
        <v>2.2999999999999998</v>
      </c>
      <c r="H371">
        <v>2024</v>
      </c>
      <c r="I371" t="s">
        <v>1062</v>
      </c>
      <c r="J371" t="s">
        <v>1088</v>
      </c>
      <c r="K371">
        <v>2</v>
      </c>
      <c r="L371" t="s">
        <v>1055</v>
      </c>
      <c r="M371">
        <v>7</v>
      </c>
    </row>
    <row r="372" spans="1:13" x14ac:dyDescent="0.3">
      <c r="A372" t="s">
        <v>659</v>
      </c>
      <c r="B372" t="s">
        <v>21</v>
      </c>
      <c r="C372">
        <v>144</v>
      </c>
      <c r="D372" t="s">
        <v>11</v>
      </c>
      <c r="E372" s="32">
        <v>45129</v>
      </c>
      <c r="F372">
        <v>102</v>
      </c>
      <c r="G372">
        <v>2.9</v>
      </c>
      <c r="H372">
        <v>2024</v>
      </c>
      <c r="I372" t="s">
        <v>1064</v>
      </c>
      <c r="J372" t="s">
        <v>1089</v>
      </c>
      <c r="K372">
        <v>3</v>
      </c>
      <c r="L372" t="s">
        <v>1055</v>
      </c>
      <c r="M372">
        <v>7</v>
      </c>
    </row>
    <row r="373" spans="1:13" x14ac:dyDescent="0.3">
      <c r="A373" t="s">
        <v>660</v>
      </c>
      <c r="B373" t="s">
        <v>8</v>
      </c>
      <c r="C373">
        <v>67</v>
      </c>
      <c r="D373" t="s">
        <v>11</v>
      </c>
      <c r="E373" s="32">
        <v>45129</v>
      </c>
      <c r="F373">
        <v>38</v>
      </c>
      <c r="G373">
        <v>4.2</v>
      </c>
      <c r="H373">
        <v>2024</v>
      </c>
      <c r="I373" t="s">
        <v>1064</v>
      </c>
      <c r="J373" t="s">
        <v>1087</v>
      </c>
      <c r="K373">
        <v>4</v>
      </c>
      <c r="L373" t="s">
        <v>1055</v>
      </c>
      <c r="M373">
        <v>7</v>
      </c>
    </row>
    <row r="374" spans="1:13" x14ac:dyDescent="0.3">
      <c r="A374" t="s">
        <v>661</v>
      </c>
      <c r="B374" t="s">
        <v>22</v>
      </c>
      <c r="C374">
        <v>162</v>
      </c>
      <c r="D374" t="s">
        <v>10</v>
      </c>
      <c r="E374" s="32">
        <v>45129</v>
      </c>
      <c r="F374">
        <v>82</v>
      </c>
      <c r="G374">
        <v>4.5999999999999996</v>
      </c>
      <c r="H374">
        <v>2024</v>
      </c>
      <c r="I374" t="s">
        <v>1064</v>
      </c>
      <c r="J374" t="s">
        <v>1089</v>
      </c>
      <c r="K374">
        <v>5</v>
      </c>
      <c r="L374" t="s">
        <v>1055</v>
      </c>
      <c r="M374">
        <v>7</v>
      </c>
    </row>
    <row r="375" spans="1:13" x14ac:dyDescent="0.3">
      <c r="A375" t="s">
        <v>662</v>
      </c>
      <c r="B375" t="s">
        <v>21</v>
      </c>
      <c r="C375">
        <v>87</v>
      </c>
      <c r="D375" t="s">
        <v>9</v>
      </c>
      <c r="E375" s="32">
        <v>45132</v>
      </c>
      <c r="F375">
        <v>125</v>
      </c>
      <c r="G375">
        <v>4.5</v>
      </c>
      <c r="H375">
        <v>2024</v>
      </c>
      <c r="I375" t="s">
        <v>1067</v>
      </c>
      <c r="J375" t="s">
        <v>1087</v>
      </c>
      <c r="K375">
        <v>5</v>
      </c>
      <c r="L375" t="s">
        <v>1055</v>
      </c>
      <c r="M375">
        <v>7</v>
      </c>
    </row>
    <row r="376" spans="1:13" x14ac:dyDescent="0.3">
      <c r="A376" t="s">
        <v>663</v>
      </c>
      <c r="B376" t="s">
        <v>19</v>
      </c>
      <c r="C376">
        <v>10</v>
      </c>
      <c r="D376" t="s">
        <v>6</v>
      </c>
      <c r="E376" s="32">
        <v>45133</v>
      </c>
      <c r="F376">
        <v>72</v>
      </c>
      <c r="G376">
        <v>3.7</v>
      </c>
      <c r="H376">
        <v>2024</v>
      </c>
      <c r="I376" t="s">
        <v>1068</v>
      </c>
      <c r="J376" t="s">
        <v>1090</v>
      </c>
      <c r="K376">
        <v>4</v>
      </c>
      <c r="L376" t="s">
        <v>1055</v>
      </c>
      <c r="M376">
        <v>7</v>
      </c>
    </row>
    <row r="377" spans="1:13" x14ac:dyDescent="0.3">
      <c r="A377" t="s">
        <v>665</v>
      </c>
      <c r="B377" t="s">
        <v>22</v>
      </c>
      <c r="C377">
        <v>31</v>
      </c>
      <c r="D377" t="s">
        <v>6</v>
      </c>
      <c r="E377" s="32">
        <v>45134</v>
      </c>
      <c r="F377">
        <v>160</v>
      </c>
      <c r="G377">
        <v>3.4</v>
      </c>
      <c r="H377">
        <v>2024</v>
      </c>
      <c r="I377" t="s">
        <v>1066</v>
      </c>
      <c r="J377" t="s">
        <v>1088</v>
      </c>
      <c r="K377">
        <v>3</v>
      </c>
      <c r="L377" t="s">
        <v>1055</v>
      </c>
      <c r="M377">
        <v>7</v>
      </c>
    </row>
    <row r="378" spans="1:13" x14ac:dyDescent="0.3">
      <c r="A378" t="s">
        <v>666</v>
      </c>
      <c r="B378" t="s">
        <v>16</v>
      </c>
      <c r="C378">
        <v>75</v>
      </c>
      <c r="D378" t="s">
        <v>10</v>
      </c>
      <c r="E378" s="32">
        <v>45134</v>
      </c>
      <c r="F378">
        <v>78</v>
      </c>
      <c r="G378">
        <v>3.3</v>
      </c>
      <c r="H378">
        <v>2024</v>
      </c>
      <c r="I378" t="s">
        <v>1066</v>
      </c>
      <c r="J378" t="s">
        <v>1087</v>
      </c>
      <c r="K378">
        <v>3</v>
      </c>
      <c r="L378" t="s">
        <v>1055</v>
      </c>
      <c r="M378">
        <v>7</v>
      </c>
    </row>
    <row r="379" spans="1:13" x14ac:dyDescent="0.3">
      <c r="A379" t="s">
        <v>674</v>
      </c>
      <c r="B379" t="s">
        <v>5</v>
      </c>
      <c r="C379">
        <v>164</v>
      </c>
      <c r="D379" t="s">
        <v>10</v>
      </c>
      <c r="E379" s="32">
        <v>45138</v>
      </c>
      <c r="F379">
        <v>36</v>
      </c>
      <c r="G379">
        <v>4.7</v>
      </c>
      <c r="H379">
        <v>2024</v>
      </c>
      <c r="I379" t="s">
        <v>1063</v>
      </c>
      <c r="J379" t="s">
        <v>1089</v>
      </c>
      <c r="K379">
        <v>5</v>
      </c>
      <c r="L379" t="s">
        <v>1055</v>
      </c>
      <c r="M379">
        <v>7</v>
      </c>
    </row>
    <row r="380" spans="1:13" x14ac:dyDescent="0.3">
      <c r="A380" t="s">
        <v>675</v>
      </c>
      <c r="B380" t="s">
        <v>16</v>
      </c>
      <c r="C380">
        <v>163</v>
      </c>
      <c r="D380" t="s">
        <v>9</v>
      </c>
      <c r="E380" s="32">
        <v>45138</v>
      </c>
      <c r="F380">
        <v>76</v>
      </c>
      <c r="G380">
        <v>4.4000000000000004</v>
      </c>
      <c r="H380">
        <v>2024</v>
      </c>
      <c r="I380" t="s">
        <v>1063</v>
      </c>
      <c r="J380" t="s">
        <v>1089</v>
      </c>
      <c r="K380">
        <v>4</v>
      </c>
      <c r="L380" t="s">
        <v>1055</v>
      </c>
      <c r="M380">
        <v>7</v>
      </c>
    </row>
    <row r="381" spans="1:13" x14ac:dyDescent="0.3">
      <c r="A381" t="s">
        <v>676</v>
      </c>
      <c r="B381" t="s">
        <v>15</v>
      </c>
      <c r="C381">
        <v>71</v>
      </c>
      <c r="D381" t="s">
        <v>10</v>
      </c>
      <c r="E381" s="32">
        <v>45140</v>
      </c>
      <c r="F381">
        <v>170</v>
      </c>
      <c r="G381">
        <v>3.5</v>
      </c>
      <c r="H381">
        <v>2024</v>
      </c>
      <c r="I381" t="s">
        <v>1068</v>
      </c>
      <c r="J381" t="s">
        <v>1087</v>
      </c>
      <c r="K381">
        <v>4</v>
      </c>
      <c r="L381" t="s">
        <v>1056</v>
      </c>
      <c r="M381">
        <v>8</v>
      </c>
    </row>
    <row r="382" spans="1:13" x14ac:dyDescent="0.3">
      <c r="A382" t="s">
        <v>679</v>
      </c>
      <c r="B382" t="s">
        <v>16</v>
      </c>
      <c r="C382">
        <v>111</v>
      </c>
      <c r="D382" t="s">
        <v>6</v>
      </c>
      <c r="E382" s="32">
        <v>45141</v>
      </c>
      <c r="F382">
        <v>99</v>
      </c>
      <c r="G382">
        <v>4.0999999999999996</v>
      </c>
      <c r="H382">
        <v>2024</v>
      </c>
      <c r="I382" t="s">
        <v>1066</v>
      </c>
      <c r="J382" t="s">
        <v>1087</v>
      </c>
      <c r="K382">
        <v>4</v>
      </c>
      <c r="L382" t="s">
        <v>1056</v>
      </c>
      <c r="M382">
        <v>8</v>
      </c>
    </row>
    <row r="383" spans="1:13" x14ac:dyDescent="0.3">
      <c r="A383" t="s">
        <v>680</v>
      </c>
      <c r="B383" t="s">
        <v>18</v>
      </c>
      <c r="C383">
        <v>97</v>
      </c>
      <c r="D383" t="s">
        <v>9</v>
      </c>
      <c r="E383" s="32">
        <v>45142</v>
      </c>
      <c r="F383">
        <v>105</v>
      </c>
      <c r="G383">
        <v>2.9</v>
      </c>
      <c r="H383">
        <v>2024</v>
      </c>
      <c r="I383" t="s">
        <v>1062</v>
      </c>
      <c r="J383" t="s">
        <v>1087</v>
      </c>
      <c r="K383">
        <v>3</v>
      </c>
      <c r="L383" t="s">
        <v>1056</v>
      </c>
      <c r="M383">
        <v>8</v>
      </c>
    </row>
    <row r="384" spans="1:13" x14ac:dyDescent="0.3">
      <c r="A384" t="s">
        <v>681</v>
      </c>
      <c r="B384" t="s">
        <v>14</v>
      </c>
      <c r="C384">
        <v>144</v>
      </c>
      <c r="D384" t="s">
        <v>13</v>
      </c>
      <c r="E384" s="32">
        <v>45142</v>
      </c>
      <c r="F384">
        <v>195</v>
      </c>
      <c r="G384">
        <v>3.4</v>
      </c>
      <c r="H384">
        <v>2024</v>
      </c>
      <c r="I384" t="s">
        <v>1062</v>
      </c>
      <c r="J384" t="s">
        <v>1089</v>
      </c>
      <c r="K384">
        <v>3</v>
      </c>
      <c r="L384" t="s">
        <v>1056</v>
      </c>
      <c r="M384">
        <v>8</v>
      </c>
    </row>
    <row r="385" spans="1:13" x14ac:dyDescent="0.3">
      <c r="A385" t="s">
        <v>683</v>
      </c>
      <c r="B385" t="s">
        <v>14</v>
      </c>
      <c r="C385">
        <v>132</v>
      </c>
      <c r="D385" t="s">
        <v>13</v>
      </c>
      <c r="E385" s="32">
        <v>45144</v>
      </c>
      <c r="F385">
        <v>195</v>
      </c>
      <c r="G385">
        <v>4.9000000000000004</v>
      </c>
      <c r="H385">
        <v>2024</v>
      </c>
      <c r="I385" t="s">
        <v>1065</v>
      </c>
      <c r="J385" t="s">
        <v>1089</v>
      </c>
      <c r="K385">
        <v>5</v>
      </c>
      <c r="L385" t="s">
        <v>1056</v>
      </c>
      <c r="M385">
        <v>8</v>
      </c>
    </row>
    <row r="386" spans="1:13" x14ac:dyDescent="0.3">
      <c r="A386" t="s">
        <v>684</v>
      </c>
      <c r="B386" t="s">
        <v>15</v>
      </c>
      <c r="C386">
        <v>72</v>
      </c>
      <c r="D386" t="s">
        <v>11</v>
      </c>
      <c r="E386" s="32">
        <v>45144</v>
      </c>
      <c r="F386">
        <v>70</v>
      </c>
      <c r="G386">
        <v>3.6</v>
      </c>
      <c r="H386">
        <v>2024</v>
      </c>
      <c r="I386" t="s">
        <v>1065</v>
      </c>
      <c r="J386" t="s">
        <v>1087</v>
      </c>
      <c r="K386">
        <v>4</v>
      </c>
      <c r="L386" t="s">
        <v>1056</v>
      </c>
      <c r="M386">
        <v>8</v>
      </c>
    </row>
    <row r="387" spans="1:13" x14ac:dyDescent="0.3">
      <c r="A387" t="s">
        <v>685</v>
      </c>
      <c r="B387" t="s">
        <v>16</v>
      </c>
      <c r="C387">
        <v>18</v>
      </c>
      <c r="D387" t="s">
        <v>11</v>
      </c>
      <c r="E387" s="32">
        <v>45144</v>
      </c>
      <c r="F387">
        <v>22</v>
      </c>
      <c r="G387">
        <v>3.5</v>
      </c>
      <c r="H387">
        <v>2024</v>
      </c>
      <c r="I387" t="s">
        <v>1065</v>
      </c>
      <c r="J387" t="s">
        <v>1091</v>
      </c>
      <c r="K387">
        <v>4</v>
      </c>
      <c r="L387" t="s">
        <v>1056</v>
      </c>
      <c r="M387">
        <v>8</v>
      </c>
    </row>
    <row r="388" spans="1:13" x14ac:dyDescent="0.3">
      <c r="A388" t="s">
        <v>686</v>
      </c>
      <c r="B388" t="s">
        <v>8</v>
      </c>
      <c r="C388">
        <v>115</v>
      </c>
      <c r="D388" t="s">
        <v>6</v>
      </c>
      <c r="E388" s="32">
        <v>45145</v>
      </c>
      <c r="F388">
        <v>40</v>
      </c>
      <c r="G388">
        <v>3.3</v>
      </c>
      <c r="H388">
        <v>2024</v>
      </c>
      <c r="I388" t="s">
        <v>1063</v>
      </c>
      <c r="J388" t="s">
        <v>1087</v>
      </c>
      <c r="K388">
        <v>3</v>
      </c>
      <c r="L388" t="s">
        <v>1056</v>
      </c>
      <c r="M388">
        <v>8</v>
      </c>
    </row>
    <row r="389" spans="1:13" x14ac:dyDescent="0.3">
      <c r="A389" t="s">
        <v>687</v>
      </c>
      <c r="B389" t="s">
        <v>8</v>
      </c>
      <c r="C389">
        <v>124</v>
      </c>
      <c r="D389" t="s">
        <v>9</v>
      </c>
      <c r="E389" s="32">
        <v>45146</v>
      </c>
      <c r="F389">
        <v>54</v>
      </c>
      <c r="G389">
        <v>3.8</v>
      </c>
      <c r="H389">
        <v>2024</v>
      </c>
      <c r="I389" t="s">
        <v>1067</v>
      </c>
      <c r="J389" t="s">
        <v>1089</v>
      </c>
      <c r="K389">
        <v>4</v>
      </c>
      <c r="L389" t="s">
        <v>1056</v>
      </c>
      <c r="M389">
        <v>8</v>
      </c>
    </row>
    <row r="390" spans="1:13" x14ac:dyDescent="0.3">
      <c r="A390" t="s">
        <v>689</v>
      </c>
      <c r="B390" t="s">
        <v>19</v>
      </c>
      <c r="C390">
        <v>120</v>
      </c>
      <c r="D390" t="s">
        <v>10</v>
      </c>
      <c r="E390" s="32">
        <v>45148</v>
      </c>
      <c r="F390">
        <v>58</v>
      </c>
      <c r="G390">
        <v>4.5999999999999996</v>
      </c>
      <c r="H390">
        <v>2024</v>
      </c>
      <c r="I390" t="s">
        <v>1066</v>
      </c>
      <c r="J390" t="s">
        <v>1087</v>
      </c>
      <c r="K390">
        <v>5</v>
      </c>
      <c r="L390" t="s">
        <v>1056</v>
      </c>
      <c r="M390">
        <v>8</v>
      </c>
    </row>
    <row r="391" spans="1:13" x14ac:dyDescent="0.3">
      <c r="A391" t="s">
        <v>690</v>
      </c>
      <c r="B391" t="s">
        <v>18</v>
      </c>
      <c r="C391">
        <v>75</v>
      </c>
      <c r="D391" t="s">
        <v>6</v>
      </c>
      <c r="E391" s="32">
        <v>45148</v>
      </c>
      <c r="F391">
        <v>220</v>
      </c>
      <c r="G391">
        <v>4.7</v>
      </c>
      <c r="H391">
        <v>2024</v>
      </c>
      <c r="I391" t="s">
        <v>1066</v>
      </c>
      <c r="J391" t="s">
        <v>1087</v>
      </c>
      <c r="K391">
        <v>5</v>
      </c>
      <c r="L391" t="s">
        <v>1056</v>
      </c>
      <c r="M391">
        <v>8</v>
      </c>
    </row>
    <row r="392" spans="1:13" x14ac:dyDescent="0.3">
      <c r="A392" t="s">
        <v>692</v>
      </c>
      <c r="B392" t="s">
        <v>14</v>
      </c>
      <c r="C392">
        <v>74</v>
      </c>
      <c r="D392" t="s">
        <v>6</v>
      </c>
      <c r="E392" s="32">
        <v>45150</v>
      </c>
      <c r="F392">
        <v>26</v>
      </c>
      <c r="G392">
        <v>4.3</v>
      </c>
      <c r="H392">
        <v>2024</v>
      </c>
      <c r="I392" t="s">
        <v>1064</v>
      </c>
      <c r="J392" t="s">
        <v>1087</v>
      </c>
      <c r="K392">
        <v>4</v>
      </c>
      <c r="L392" t="s">
        <v>1056</v>
      </c>
      <c r="M392">
        <v>8</v>
      </c>
    </row>
    <row r="393" spans="1:13" x14ac:dyDescent="0.3">
      <c r="A393" t="s">
        <v>694</v>
      </c>
      <c r="B393" t="s">
        <v>16</v>
      </c>
      <c r="C393">
        <v>103</v>
      </c>
      <c r="D393" t="s">
        <v>9</v>
      </c>
      <c r="E393" s="32">
        <v>45151</v>
      </c>
      <c r="F393">
        <v>200</v>
      </c>
      <c r="G393">
        <v>4.9000000000000004</v>
      </c>
      <c r="H393">
        <v>2024</v>
      </c>
      <c r="I393" t="s">
        <v>1065</v>
      </c>
      <c r="J393" t="s">
        <v>1087</v>
      </c>
      <c r="K393">
        <v>5</v>
      </c>
      <c r="L393" t="s">
        <v>1056</v>
      </c>
      <c r="M393">
        <v>8</v>
      </c>
    </row>
    <row r="394" spans="1:13" x14ac:dyDescent="0.3">
      <c r="A394" t="s">
        <v>695</v>
      </c>
      <c r="B394" t="s">
        <v>16</v>
      </c>
      <c r="C394">
        <v>155</v>
      </c>
      <c r="D394" t="s">
        <v>10</v>
      </c>
      <c r="E394" s="32">
        <v>45154</v>
      </c>
      <c r="F394">
        <v>135</v>
      </c>
      <c r="G394">
        <v>4.9000000000000004</v>
      </c>
      <c r="H394">
        <v>2024</v>
      </c>
      <c r="I394" t="s">
        <v>1068</v>
      </c>
      <c r="J394" t="s">
        <v>1089</v>
      </c>
      <c r="K394">
        <v>5</v>
      </c>
      <c r="L394" t="s">
        <v>1056</v>
      </c>
      <c r="M394">
        <v>8</v>
      </c>
    </row>
    <row r="395" spans="1:13" x14ac:dyDescent="0.3">
      <c r="A395" t="s">
        <v>697</v>
      </c>
      <c r="B395" t="s">
        <v>18</v>
      </c>
      <c r="C395">
        <v>89</v>
      </c>
      <c r="D395" t="s">
        <v>13</v>
      </c>
      <c r="E395" s="32">
        <v>45156</v>
      </c>
      <c r="F395">
        <v>164</v>
      </c>
      <c r="G395">
        <v>4.5</v>
      </c>
      <c r="H395">
        <v>2024</v>
      </c>
      <c r="I395" t="s">
        <v>1062</v>
      </c>
      <c r="J395" t="s">
        <v>1087</v>
      </c>
      <c r="K395">
        <v>5</v>
      </c>
      <c r="L395" t="s">
        <v>1056</v>
      </c>
      <c r="M395">
        <v>8</v>
      </c>
    </row>
    <row r="396" spans="1:13" x14ac:dyDescent="0.3">
      <c r="A396" t="s">
        <v>698</v>
      </c>
      <c r="B396" t="s">
        <v>8</v>
      </c>
      <c r="C396">
        <v>81</v>
      </c>
      <c r="D396" t="s">
        <v>10</v>
      </c>
      <c r="E396" s="32">
        <v>45156</v>
      </c>
      <c r="F396">
        <v>21</v>
      </c>
      <c r="G396">
        <v>4.9000000000000004</v>
      </c>
      <c r="H396">
        <v>2024</v>
      </c>
      <c r="I396" t="s">
        <v>1062</v>
      </c>
      <c r="J396" t="s">
        <v>1087</v>
      </c>
      <c r="K396">
        <v>5</v>
      </c>
      <c r="L396" t="s">
        <v>1056</v>
      </c>
      <c r="M396">
        <v>8</v>
      </c>
    </row>
    <row r="397" spans="1:13" x14ac:dyDescent="0.3">
      <c r="A397" t="s">
        <v>699</v>
      </c>
      <c r="B397" t="s">
        <v>18</v>
      </c>
      <c r="C397">
        <v>66</v>
      </c>
      <c r="D397" t="s">
        <v>13</v>
      </c>
      <c r="E397" s="32">
        <v>45157</v>
      </c>
      <c r="F397">
        <v>120</v>
      </c>
      <c r="G397">
        <v>4.5</v>
      </c>
      <c r="H397">
        <v>2024</v>
      </c>
      <c r="I397" t="s">
        <v>1064</v>
      </c>
      <c r="J397" t="s">
        <v>1087</v>
      </c>
      <c r="K397">
        <v>5</v>
      </c>
      <c r="L397" t="s">
        <v>1056</v>
      </c>
      <c r="M397">
        <v>8</v>
      </c>
    </row>
    <row r="398" spans="1:13" x14ac:dyDescent="0.3">
      <c r="A398" t="s">
        <v>700</v>
      </c>
      <c r="B398" t="s">
        <v>15</v>
      </c>
      <c r="C398">
        <v>61</v>
      </c>
      <c r="D398" t="s">
        <v>11</v>
      </c>
      <c r="E398" s="32">
        <v>45157</v>
      </c>
      <c r="F398">
        <v>93</v>
      </c>
      <c r="G398">
        <v>2.7</v>
      </c>
      <c r="H398">
        <v>2024</v>
      </c>
      <c r="I398" t="s">
        <v>1064</v>
      </c>
      <c r="J398" t="s">
        <v>1087</v>
      </c>
      <c r="K398">
        <v>3</v>
      </c>
      <c r="L398" t="s">
        <v>1056</v>
      </c>
      <c r="M398">
        <v>8</v>
      </c>
    </row>
    <row r="399" spans="1:13" x14ac:dyDescent="0.3">
      <c r="A399" t="s">
        <v>701</v>
      </c>
      <c r="B399" t="s">
        <v>8</v>
      </c>
      <c r="C399">
        <v>128</v>
      </c>
      <c r="D399" t="s">
        <v>11</v>
      </c>
      <c r="E399" s="32">
        <v>45157</v>
      </c>
      <c r="F399">
        <v>135</v>
      </c>
      <c r="G399">
        <v>2.1</v>
      </c>
      <c r="H399">
        <v>2024</v>
      </c>
      <c r="I399" t="s">
        <v>1064</v>
      </c>
      <c r="J399" t="s">
        <v>1089</v>
      </c>
      <c r="K399">
        <v>2</v>
      </c>
      <c r="L399" t="s">
        <v>1056</v>
      </c>
      <c r="M399">
        <v>8</v>
      </c>
    </row>
    <row r="400" spans="1:13" x14ac:dyDescent="0.3">
      <c r="A400" t="s">
        <v>702</v>
      </c>
      <c r="B400" t="s">
        <v>16</v>
      </c>
      <c r="C400">
        <v>30</v>
      </c>
      <c r="D400" t="s">
        <v>10</v>
      </c>
      <c r="E400" s="32">
        <v>45157</v>
      </c>
      <c r="F400">
        <v>210</v>
      </c>
      <c r="G400">
        <v>4.2</v>
      </c>
      <c r="H400">
        <v>2024</v>
      </c>
      <c r="I400" t="s">
        <v>1064</v>
      </c>
      <c r="J400" t="s">
        <v>1091</v>
      </c>
      <c r="K400">
        <v>4</v>
      </c>
      <c r="L400" t="s">
        <v>1056</v>
      </c>
      <c r="M400">
        <v>8</v>
      </c>
    </row>
    <row r="401" spans="1:13" x14ac:dyDescent="0.3">
      <c r="A401" t="s">
        <v>703</v>
      </c>
      <c r="B401" t="s">
        <v>5</v>
      </c>
      <c r="C401">
        <v>63</v>
      </c>
      <c r="D401" t="s">
        <v>11</v>
      </c>
      <c r="E401" s="32">
        <v>45158</v>
      </c>
      <c r="F401">
        <v>29</v>
      </c>
      <c r="G401">
        <v>4.7</v>
      </c>
      <c r="H401">
        <v>2024</v>
      </c>
      <c r="I401" t="s">
        <v>1065</v>
      </c>
      <c r="J401" t="s">
        <v>1087</v>
      </c>
      <c r="K401">
        <v>5</v>
      </c>
      <c r="L401" t="s">
        <v>1056</v>
      </c>
      <c r="M401">
        <v>8</v>
      </c>
    </row>
    <row r="402" spans="1:13" x14ac:dyDescent="0.3">
      <c r="A402" t="s">
        <v>705</v>
      </c>
      <c r="B402" t="s">
        <v>21</v>
      </c>
      <c r="C402">
        <v>151</v>
      </c>
      <c r="D402" t="s">
        <v>9</v>
      </c>
      <c r="E402" s="32">
        <v>45159</v>
      </c>
      <c r="F402">
        <v>63</v>
      </c>
      <c r="G402">
        <v>4.0999999999999996</v>
      </c>
      <c r="H402">
        <v>2024</v>
      </c>
      <c r="I402" t="s">
        <v>1063</v>
      </c>
      <c r="J402" t="s">
        <v>1089</v>
      </c>
      <c r="K402">
        <v>4</v>
      </c>
      <c r="L402" t="s">
        <v>1056</v>
      </c>
      <c r="M402">
        <v>8</v>
      </c>
    </row>
    <row r="403" spans="1:13" x14ac:dyDescent="0.3">
      <c r="A403" t="s">
        <v>707</v>
      </c>
      <c r="B403" t="s">
        <v>21</v>
      </c>
      <c r="C403">
        <v>111</v>
      </c>
      <c r="D403" t="s">
        <v>13</v>
      </c>
      <c r="E403" s="32">
        <v>45161</v>
      </c>
      <c r="F403">
        <v>120</v>
      </c>
      <c r="G403">
        <v>1.8</v>
      </c>
      <c r="H403">
        <v>2024</v>
      </c>
      <c r="I403" t="s">
        <v>1068</v>
      </c>
      <c r="J403" t="s">
        <v>1087</v>
      </c>
      <c r="K403">
        <v>2</v>
      </c>
      <c r="L403" t="s">
        <v>1056</v>
      </c>
      <c r="M403">
        <v>8</v>
      </c>
    </row>
    <row r="404" spans="1:13" x14ac:dyDescent="0.3">
      <c r="A404" t="s">
        <v>708</v>
      </c>
      <c r="B404" t="s">
        <v>8</v>
      </c>
      <c r="C404">
        <v>15</v>
      </c>
      <c r="D404" t="s">
        <v>13</v>
      </c>
      <c r="E404" s="32">
        <v>45161</v>
      </c>
      <c r="F404">
        <v>120</v>
      </c>
      <c r="G404">
        <v>4.0999999999999996</v>
      </c>
      <c r="H404">
        <v>2024</v>
      </c>
      <c r="I404" t="s">
        <v>1068</v>
      </c>
      <c r="J404" t="s">
        <v>1091</v>
      </c>
      <c r="K404">
        <v>4</v>
      </c>
      <c r="L404" t="s">
        <v>1056</v>
      </c>
      <c r="M404">
        <v>8</v>
      </c>
    </row>
    <row r="405" spans="1:13" x14ac:dyDescent="0.3">
      <c r="A405" t="s">
        <v>710</v>
      </c>
      <c r="B405" t="s">
        <v>15</v>
      </c>
      <c r="C405">
        <v>146</v>
      </c>
      <c r="D405" t="s">
        <v>11</v>
      </c>
      <c r="E405" s="32">
        <v>45162</v>
      </c>
      <c r="F405">
        <v>160</v>
      </c>
      <c r="G405">
        <v>4.0999999999999996</v>
      </c>
      <c r="H405">
        <v>2024</v>
      </c>
      <c r="I405" t="s">
        <v>1066</v>
      </c>
      <c r="J405" t="s">
        <v>1089</v>
      </c>
      <c r="K405">
        <v>4</v>
      </c>
      <c r="L405" t="s">
        <v>1056</v>
      </c>
      <c r="M405">
        <v>8</v>
      </c>
    </row>
    <row r="406" spans="1:13" x14ac:dyDescent="0.3">
      <c r="A406" t="s">
        <v>711</v>
      </c>
      <c r="B406" t="s">
        <v>16</v>
      </c>
      <c r="C406">
        <v>73</v>
      </c>
      <c r="D406" t="s">
        <v>13</v>
      </c>
      <c r="E406" s="32">
        <v>45163</v>
      </c>
      <c r="F406">
        <v>44</v>
      </c>
      <c r="G406">
        <v>3.8</v>
      </c>
      <c r="H406">
        <v>2024</v>
      </c>
      <c r="I406" t="s">
        <v>1062</v>
      </c>
      <c r="J406" t="s">
        <v>1087</v>
      </c>
      <c r="K406">
        <v>4</v>
      </c>
      <c r="L406" t="s">
        <v>1056</v>
      </c>
      <c r="M406">
        <v>8</v>
      </c>
    </row>
    <row r="407" spans="1:13" x14ac:dyDescent="0.3">
      <c r="A407" t="s">
        <v>712</v>
      </c>
      <c r="B407" t="s">
        <v>21</v>
      </c>
      <c r="C407">
        <v>108</v>
      </c>
      <c r="D407" t="s">
        <v>9</v>
      </c>
      <c r="E407" s="32">
        <v>45163</v>
      </c>
      <c r="F407">
        <v>80</v>
      </c>
      <c r="G407">
        <v>4.3</v>
      </c>
      <c r="H407">
        <v>2024</v>
      </c>
      <c r="I407" t="s">
        <v>1062</v>
      </c>
      <c r="J407" t="s">
        <v>1087</v>
      </c>
      <c r="K407">
        <v>4</v>
      </c>
      <c r="L407" t="s">
        <v>1056</v>
      </c>
      <c r="M407">
        <v>8</v>
      </c>
    </row>
    <row r="408" spans="1:13" x14ac:dyDescent="0.3">
      <c r="A408" t="s">
        <v>715</v>
      </c>
      <c r="B408" t="s">
        <v>15</v>
      </c>
      <c r="C408">
        <v>104</v>
      </c>
      <c r="D408" t="s">
        <v>13</v>
      </c>
      <c r="E408" s="32">
        <v>45164</v>
      </c>
      <c r="F408">
        <v>66</v>
      </c>
      <c r="G408">
        <v>4.8</v>
      </c>
      <c r="H408">
        <v>2024</v>
      </c>
      <c r="I408" t="s">
        <v>1064</v>
      </c>
      <c r="J408" t="s">
        <v>1087</v>
      </c>
      <c r="K408">
        <v>5</v>
      </c>
      <c r="L408" t="s">
        <v>1056</v>
      </c>
      <c r="M408">
        <v>8</v>
      </c>
    </row>
    <row r="409" spans="1:13" x14ac:dyDescent="0.3">
      <c r="A409" t="s">
        <v>716</v>
      </c>
      <c r="B409" t="s">
        <v>16</v>
      </c>
      <c r="C409">
        <v>131</v>
      </c>
      <c r="D409" t="s">
        <v>11</v>
      </c>
      <c r="E409" s="32">
        <v>45164</v>
      </c>
      <c r="F409">
        <v>92</v>
      </c>
      <c r="G409">
        <v>4.9000000000000004</v>
      </c>
      <c r="H409">
        <v>2024</v>
      </c>
      <c r="I409" t="s">
        <v>1064</v>
      </c>
      <c r="J409" t="s">
        <v>1089</v>
      </c>
      <c r="K409">
        <v>5</v>
      </c>
      <c r="L409" t="s">
        <v>1056</v>
      </c>
      <c r="M409">
        <v>8</v>
      </c>
    </row>
    <row r="410" spans="1:13" x14ac:dyDescent="0.3">
      <c r="A410" t="s">
        <v>717</v>
      </c>
      <c r="B410" t="s">
        <v>19</v>
      </c>
      <c r="C410">
        <v>80</v>
      </c>
      <c r="D410" t="s">
        <v>6</v>
      </c>
      <c r="E410" s="32">
        <v>45165</v>
      </c>
      <c r="F410">
        <v>104</v>
      </c>
      <c r="G410">
        <v>4.7</v>
      </c>
      <c r="H410">
        <v>2024</v>
      </c>
      <c r="I410" t="s">
        <v>1065</v>
      </c>
      <c r="J410" t="s">
        <v>1087</v>
      </c>
      <c r="K410">
        <v>5</v>
      </c>
      <c r="L410" t="s">
        <v>1056</v>
      </c>
      <c r="M410">
        <v>8</v>
      </c>
    </row>
    <row r="411" spans="1:13" x14ac:dyDescent="0.3">
      <c r="A411" t="s">
        <v>718</v>
      </c>
      <c r="B411" t="s">
        <v>8</v>
      </c>
      <c r="C411">
        <v>49</v>
      </c>
      <c r="D411" t="s">
        <v>13</v>
      </c>
      <c r="E411" s="32">
        <v>45165</v>
      </c>
      <c r="F411">
        <v>105</v>
      </c>
      <c r="G411">
        <v>3.3</v>
      </c>
      <c r="H411">
        <v>2024</v>
      </c>
      <c r="I411" t="s">
        <v>1065</v>
      </c>
      <c r="J411" t="s">
        <v>1088</v>
      </c>
      <c r="K411">
        <v>3</v>
      </c>
      <c r="L411" t="s">
        <v>1056</v>
      </c>
      <c r="M411">
        <v>8</v>
      </c>
    </row>
    <row r="412" spans="1:13" x14ac:dyDescent="0.3">
      <c r="A412" t="s">
        <v>720</v>
      </c>
      <c r="B412" t="s">
        <v>15</v>
      </c>
      <c r="C412">
        <v>117</v>
      </c>
      <c r="D412" t="s">
        <v>6</v>
      </c>
      <c r="E412" s="32">
        <v>45165</v>
      </c>
      <c r="F412">
        <v>90</v>
      </c>
      <c r="G412">
        <v>4.0999999999999996</v>
      </c>
      <c r="H412">
        <v>2024</v>
      </c>
      <c r="I412" t="s">
        <v>1065</v>
      </c>
      <c r="J412" t="s">
        <v>1087</v>
      </c>
      <c r="K412">
        <v>4</v>
      </c>
      <c r="L412" t="s">
        <v>1056</v>
      </c>
      <c r="M412">
        <v>8</v>
      </c>
    </row>
    <row r="413" spans="1:13" x14ac:dyDescent="0.3">
      <c r="A413" t="s">
        <v>723</v>
      </c>
      <c r="B413" t="s">
        <v>8</v>
      </c>
      <c r="C413">
        <v>70</v>
      </c>
      <c r="D413" t="s">
        <v>9</v>
      </c>
      <c r="E413" s="32">
        <v>45168</v>
      </c>
      <c r="F413">
        <v>210</v>
      </c>
      <c r="G413">
        <v>4.0999999999999996</v>
      </c>
      <c r="H413">
        <v>2024</v>
      </c>
      <c r="I413" t="s">
        <v>1068</v>
      </c>
      <c r="J413" t="s">
        <v>1087</v>
      </c>
      <c r="K413">
        <v>4</v>
      </c>
      <c r="L413" t="s">
        <v>1056</v>
      </c>
      <c r="M413">
        <v>8</v>
      </c>
    </row>
    <row r="414" spans="1:13" x14ac:dyDescent="0.3">
      <c r="A414" t="s">
        <v>726</v>
      </c>
      <c r="B414" t="s">
        <v>14</v>
      </c>
      <c r="C414">
        <v>124</v>
      </c>
      <c r="D414" t="s">
        <v>10</v>
      </c>
      <c r="E414" s="32">
        <v>45170</v>
      </c>
      <c r="F414">
        <v>132</v>
      </c>
      <c r="G414">
        <v>4</v>
      </c>
      <c r="H414">
        <v>2024</v>
      </c>
      <c r="I414" t="s">
        <v>1062</v>
      </c>
      <c r="J414" t="s">
        <v>1089</v>
      </c>
      <c r="K414">
        <v>4</v>
      </c>
      <c r="L414" t="s">
        <v>1057</v>
      </c>
      <c r="M414">
        <v>9</v>
      </c>
    </row>
    <row r="415" spans="1:13" x14ac:dyDescent="0.3">
      <c r="A415" t="s">
        <v>728</v>
      </c>
      <c r="B415" t="s">
        <v>18</v>
      </c>
      <c r="C415">
        <v>96</v>
      </c>
      <c r="D415" t="s">
        <v>13</v>
      </c>
      <c r="E415" s="32">
        <v>45170</v>
      </c>
      <c r="F415">
        <v>36</v>
      </c>
      <c r="G415">
        <v>3.4</v>
      </c>
      <c r="H415">
        <v>2024</v>
      </c>
      <c r="I415" t="s">
        <v>1062</v>
      </c>
      <c r="J415" t="s">
        <v>1087</v>
      </c>
      <c r="K415">
        <v>3</v>
      </c>
      <c r="L415" t="s">
        <v>1057</v>
      </c>
      <c r="M415">
        <v>9</v>
      </c>
    </row>
    <row r="416" spans="1:13" x14ac:dyDescent="0.3">
      <c r="A416" t="s">
        <v>730</v>
      </c>
      <c r="B416" t="s">
        <v>22</v>
      </c>
      <c r="C416">
        <v>111</v>
      </c>
      <c r="D416" t="s">
        <v>9</v>
      </c>
      <c r="E416" s="32">
        <v>45172</v>
      </c>
      <c r="F416">
        <v>63</v>
      </c>
      <c r="G416">
        <v>4.5</v>
      </c>
      <c r="H416">
        <v>2024</v>
      </c>
      <c r="I416" t="s">
        <v>1065</v>
      </c>
      <c r="J416" t="s">
        <v>1087</v>
      </c>
      <c r="K416">
        <v>5</v>
      </c>
      <c r="L416" t="s">
        <v>1057</v>
      </c>
      <c r="M416">
        <v>9</v>
      </c>
    </row>
    <row r="417" spans="1:13" x14ac:dyDescent="0.3">
      <c r="A417" t="s">
        <v>731</v>
      </c>
      <c r="B417" t="s">
        <v>22</v>
      </c>
      <c r="C417">
        <v>103</v>
      </c>
      <c r="D417" t="s">
        <v>10</v>
      </c>
      <c r="E417" s="32">
        <v>45173</v>
      </c>
      <c r="F417">
        <v>44</v>
      </c>
      <c r="G417">
        <v>4.5</v>
      </c>
      <c r="H417">
        <v>2024</v>
      </c>
      <c r="I417" t="s">
        <v>1063</v>
      </c>
      <c r="J417" t="s">
        <v>1087</v>
      </c>
      <c r="K417">
        <v>5</v>
      </c>
      <c r="L417" t="s">
        <v>1057</v>
      </c>
      <c r="M417">
        <v>9</v>
      </c>
    </row>
    <row r="418" spans="1:13" x14ac:dyDescent="0.3">
      <c r="A418" t="s">
        <v>733</v>
      </c>
      <c r="B418" t="s">
        <v>16</v>
      </c>
      <c r="C418">
        <v>113</v>
      </c>
      <c r="D418" t="s">
        <v>13</v>
      </c>
      <c r="E418" s="32">
        <v>45173</v>
      </c>
      <c r="F418">
        <v>46</v>
      </c>
      <c r="G418">
        <v>4.4000000000000004</v>
      </c>
      <c r="H418">
        <v>2024</v>
      </c>
      <c r="I418" t="s">
        <v>1063</v>
      </c>
      <c r="J418" t="s">
        <v>1087</v>
      </c>
      <c r="K418">
        <v>4</v>
      </c>
      <c r="L418" t="s">
        <v>1057</v>
      </c>
      <c r="M418">
        <v>9</v>
      </c>
    </row>
    <row r="419" spans="1:13" x14ac:dyDescent="0.3">
      <c r="A419" t="s">
        <v>734</v>
      </c>
      <c r="B419" t="s">
        <v>16</v>
      </c>
      <c r="C419">
        <v>96</v>
      </c>
      <c r="D419" t="s">
        <v>13</v>
      </c>
      <c r="E419" s="32">
        <v>45173</v>
      </c>
      <c r="F419">
        <v>96</v>
      </c>
      <c r="G419">
        <v>2.9</v>
      </c>
      <c r="H419">
        <v>2024</v>
      </c>
      <c r="I419" t="s">
        <v>1063</v>
      </c>
      <c r="J419" t="s">
        <v>1087</v>
      </c>
      <c r="K419">
        <v>3</v>
      </c>
      <c r="L419" t="s">
        <v>1057</v>
      </c>
      <c r="M419">
        <v>9</v>
      </c>
    </row>
    <row r="420" spans="1:13" x14ac:dyDescent="0.3">
      <c r="A420" t="s">
        <v>736</v>
      </c>
      <c r="B420" t="s">
        <v>15</v>
      </c>
      <c r="C420">
        <v>52</v>
      </c>
      <c r="D420" t="s">
        <v>13</v>
      </c>
      <c r="E420" s="32">
        <v>45175</v>
      </c>
      <c r="F420">
        <v>88</v>
      </c>
      <c r="G420">
        <v>4.3</v>
      </c>
      <c r="H420">
        <v>2024</v>
      </c>
      <c r="I420" t="s">
        <v>1068</v>
      </c>
      <c r="J420" t="s">
        <v>1088</v>
      </c>
      <c r="K420">
        <v>4</v>
      </c>
      <c r="L420" t="s">
        <v>1057</v>
      </c>
      <c r="M420">
        <v>9</v>
      </c>
    </row>
    <row r="421" spans="1:13" x14ac:dyDescent="0.3">
      <c r="A421" t="s">
        <v>738</v>
      </c>
      <c r="B421" t="s">
        <v>21</v>
      </c>
      <c r="C421">
        <v>58</v>
      </c>
      <c r="D421" t="s">
        <v>6</v>
      </c>
      <c r="E421" s="32">
        <v>45175</v>
      </c>
      <c r="F421">
        <v>96</v>
      </c>
      <c r="G421">
        <v>3.2</v>
      </c>
      <c r="H421">
        <v>2024</v>
      </c>
      <c r="I421" t="s">
        <v>1068</v>
      </c>
      <c r="J421" t="s">
        <v>1088</v>
      </c>
      <c r="K421">
        <v>3</v>
      </c>
      <c r="L421" t="s">
        <v>1057</v>
      </c>
      <c r="M421">
        <v>9</v>
      </c>
    </row>
    <row r="422" spans="1:13" x14ac:dyDescent="0.3">
      <c r="A422" t="s">
        <v>739</v>
      </c>
      <c r="B422" t="s">
        <v>8</v>
      </c>
      <c r="C422">
        <v>144</v>
      </c>
      <c r="D422" t="s">
        <v>6</v>
      </c>
      <c r="E422" s="32">
        <v>45176</v>
      </c>
      <c r="F422">
        <v>124</v>
      </c>
      <c r="G422">
        <v>2.2999999999999998</v>
      </c>
      <c r="H422">
        <v>2024</v>
      </c>
      <c r="I422" t="s">
        <v>1066</v>
      </c>
      <c r="J422" t="s">
        <v>1089</v>
      </c>
      <c r="K422">
        <v>2</v>
      </c>
      <c r="L422" t="s">
        <v>1057</v>
      </c>
      <c r="M422">
        <v>9</v>
      </c>
    </row>
    <row r="423" spans="1:13" x14ac:dyDescent="0.3">
      <c r="A423" t="s">
        <v>740</v>
      </c>
      <c r="B423" t="s">
        <v>21</v>
      </c>
      <c r="C423">
        <v>53</v>
      </c>
      <c r="D423" t="s">
        <v>11</v>
      </c>
      <c r="E423" s="32">
        <v>45177</v>
      </c>
      <c r="F423">
        <v>130</v>
      </c>
      <c r="G423">
        <v>3.6</v>
      </c>
      <c r="H423">
        <v>2024</v>
      </c>
      <c r="I423" t="s">
        <v>1062</v>
      </c>
      <c r="J423" t="s">
        <v>1088</v>
      </c>
      <c r="K423">
        <v>4</v>
      </c>
      <c r="L423" t="s">
        <v>1057</v>
      </c>
      <c r="M423">
        <v>9</v>
      </c>
    </row>
    <row r="424" spans="1:13" x14ac:dyDescent="0.3">
      <c r="A424" t="s">
        <v>741</v>
      </c>
      <c r="B424" t="s">
        <v>16</v>
      </c>
      <c r="C424">
        <v>97</v>
      </c>
      <c r="D424" t="s">
        <v>9</v>
      </c>
      <c r="E424" s="32">
        <v>45177</v>
      </c>
      <c r="F424">
        <v>45</v>
      </c>
      <c r="G424">
        <v>4.5999999999999996</v>
      </c>
      <c r="H424">
        <v>2024</v>
      </c>
      <c r="I424" t="s">
        <v>1062</v>
      </c>
      <c r="J424" t="s">
        <v>1087</v>
      </c>
      <c r="K424">
        <v>5</v>
      </c>
      <c r="L424" t="s">
        <v>1057</v>
      </c>
      <c r="M424">
        <v>9</v>
      </c>
    </row>
    <row r="425" spans="1:13" x14ac:dyDescent="0.3">
      <c r="A425" t="s">
        <v>745</v>
      </c>
      <c r="B425" t="s">
        <v>8</v>
      </c>
      <c r="C425">
        <v>74</v>
      </c>
      <c r="D425" t="s">
        <v>13</v>
      </c>
      <c r="E425" s="32">
        <v>45178</v>
      </c>
      <c r="F425">
        <v>75</v>
      </c>
      <c r="G425">
        <v>2.8</v>
      </c>
      <c r="H425">
        <v>2024</v>
      </c>
      <c r="I425" t="s">
        <v>1064</v>
      </c>
      <c r="J425" t="s">
        <v>1087</v>
      </c>
      <c r="K425">
        <v>3</v>
      </c>
      <c r="L425" t="s">
        <v>1057</v>
      </c>
      <c r="M425">
        <v>9</v>
      </c>
    </row>
    <row r="426" spans="1:13" x14ac:dyDescent="0.3">
      <c r="A426" t="s">
        <v>748</v>
      </c>
      <c r="B426" t="s">
        <v>19</v>
      </c>
      <c r="C426">
        <v>124</v>
      </c>
      <c r="D426" t="s">
        <v>10</v>
      </c>
      <c r="E426" s="32">
        <v>45179</v>
      </c>
      <c r="F426">
        <v>46</v>
      </c>
      <c r="G426">
        <v>3.1</v>
      </c>
      <c r="H426">
        <v>2024</v>
      </c>
      <c r="I426" t="s">
        <v>1065</v>
      </c>
      <c r="J426" t="s">
        <v>1089</v>
      </c>
      <c r="K426">
        <v>3</v>
      </c>
      <c r="L426" t="s">
        <v>1057</v>
      </c>
      <c r="M426">
        <v>9</v>
      </c>
    </row>
    <row r="427" spans="1:13" x14ac:dyDescent="0.3">
      <c r="A427" t="s">
        <v>750</v>
      </c>
      <c r="B427" t="s">
        <v>18</v>
      </c>
      <c r="C427">
        <v>107</v>
      </c>
      <c r="D427" t="s">
        <v>9</v>
      </c>
      <c r="E427" s="32">
        <v>45179</v>
      </c>
      <c r="F427">
        <v>38</v>
      </c>
      <c r="G427">
        <v>4.7</v>
      </c>
      <c r="H427">
        <v>2024</v>
      </c>
      <c r="I427" t="s">
        <v>1065</v>
      </c>
      <c r="J427" t="s">
        <v>1087</v>
      </c>
      <c r="K427">
        <v>5</v>
      </c>
      <c r="L427" t="s">
        <v>1057</v>
      </c>
      <c r="M427">
        <v>9</v>
      </c>
    </row>
    <row r="428" spans="1:13" x14ac:dyDescent="0.3">
      <c r="A428" t="s">
        <v>752</v>
      </c>
      <c r="B428" t="s">
        <v>14</v>
      </c>
      <c r="C428">
        <v>66</v>
      </c>
      <c r="D428" t="s">
        <v>9</v>
      </c>
      <c r="E428" s="32">
        <v>45181</v>
      </c>
      <c r="F428">
        <v>32</v>
      </c>
      <c r="G428">
        <v>3.8</v>
      </c>
      <c r="H428">
        <v>2024</v>
      </c>
      <c r="I428" t="s">
        <v>1067</v>
      </c>
      <c r="J428" t="s">
        <v>1087</v>
      </c>
      <c r="K428">
        <v>4</v>
      </c>
      <c r="L428" t="s">
        <v>1057</v>
      </c>
      <c r="M428">
        <v>9</v>
      </c>
    </row>
    <row r="429" spans="1:13" x14ac:dyDescent="0.3">
      <c r="A429" t="s">
        <v>754</v>
      </c>
      <c r="B429" t="s">
        <v>18</v>
      </c>
      <c r="C429">
        <v>8</v>
      </c>
      <c r="D429" t="s">
        <v>9</v>
      </c>
      <c r="E429" s="32">
        <v>45181</v>
      </c>
      <c r="F429">
        <v>31</v>
      </c>
      <c r="G429">
        <v>3.9</v>
      </c>
      <c r="H429">
        <v>2024</v>
      </c>
      <c r="I429" t="s">
        <v>1067</v>
      </c>
      <c r="J429" t="s">
        <v>1090</v>
      </c>
      <c r="K429">
        <v>4</v>
      </c>
      <c r="L429" t="s">
        <v>1057</v>
      </c>
      <c r="M429">
        <v>9</v>
      </c>
    </row>
    <row r="430" spans="1:13" x14ac:dyDescent="0.3">
      <c r="A430" t="s">
        <v>757</v>
      </c>
      <c r="B430" t="s">
        <v>14</v>
      </c>
      <c r="C430">
        <v>50</v>
      </c>
      <c r="D430" t="s">
        <v>11</v>
      </c>
      <c r="E430" s="32">
        <v>45183</v>
      </c>
      <c r="F430">
        <v>124</v>
      </c>
      <c r="G430">
        <v>4</v>
      </c>
      <c r="H430">
        <v>2024</v>
      </c>
      <c r="I430" t="s">
        <v>1066</v>
      </c>
      <c r="J430" t="s">
        <v>1088</v>
      </c>
      <c r="K430">
        <v>4</v>
      </c>
      <c r="L430" t="s">
        <v>1057</v>
      </c>
      <c r="M430">
        <v>9</v>
      </c>
    </row>
    <row r="431" spans="1:13" x14ac:dyDescent="0.3">
      <c r="A431" t="s">
        <v>758</v>
      </c>
      <c r="B431" t="s">
        <v>15</v>
      </c>
      <c r="C431">
        <v>78</v>
      </c>
      <c r="D431" t="s">
        <v>11</v>
      </c>
      <c r="E431" s="32">
        <v>45183</v>
      </c>
      <c r="F431">
        <v>23</v>
      </c>
      <c r="G431">
        <v>4.2</v>
      </c>
      <c r="H431">
        <v>2024</v>
      </c>
      <c r="I431" t="s">
        <v>1066</v>
      </c>
      <c r="J431" t="s">
        <v>1087</v>
      </c>
      <c r="K431">
        <v>4</v>
      </c>
      <c r="L431" t="s">
        <v>1057</v>
      </c>
      <c r="M431">
        <v>9</v>
      </c>
    </row>
    <row r="432" spans="1:13" x14ac:dyDescent="0.3">
      <c r="A432" t="s">
        <v>759</v>
      </c>
      <c r="B432" t="s">
        <v>16</v>
      </c>
      <c r="C432">
        <v>59</v>
      </c>
      <c r="D432" t="s">
        <v>10</v>
      </c>
      <c r="E432" s="32">
        <v>45184</v>
      </c>
      <c r="F432">
        <v>24</v>
      </c>
      <c r="G432">
        <v>4.8</v>
      </c>
      <c r="H432">
        <v>2024</v>
      </c>
      <c r="I432" t="s">
        <v>1062</v>
      </c>
      <c r="J432" t="s">
        <v>1088</v>
      </c>
      <c r="K432">
        <v>5</v>
      </c>
      <c r="L432" t="s">
        <v>1057</v>
      </c>
      <c r="M432">
        <v>9</v>
      </c>
    </row>
    <row r="433" spans="1:13" x14ac:dyDescent="0.3">
      <c r="A433" t="s">
        <v>760</v>
      </c>
      <c r="B433" t="s">
        <v>15</v>
      </c>
      <c r="C433">
        <v>126</v>
      </c>
      <c r="D433" t="s">
        <v>9</v>
      </c>
      <c r="E433" s="32">
        <v>45185</v>
      </c>
      <c r="F433">
        <v>52</v>
      </c>
      <c r="G433">
        <v>1.1000000000000001</v>
      </c>
      <c r="H433">
        <v>2024</v>
      </c>
      <c r="I433" t="s">
        <v>1064</v>
      </c>
      <c r="J433" t="s">
        <v>1089</v>
      </c>
      <c r="K433">
        <v>1</v>
      </c>
      <c r="L433" t="s">
        <v>1057</v>
      </c>
      <c r="M433">
        <v>9</v>
      </c>
    </row>
    <row r="434" spans="1:13" x14ac:dyDescent="0.3">
      <c r="A434" t="s">
        <v>764</v>
      </c>
      <c r="B434" t="s">
        <v>22</v>
      </c>
      <c r="C434">
        <v>94</v>
      </c>
      <c r="D434" t="s">
        <v>9</v>
      </c>
      <c r="E434" s="32">
        <v>45190</v>
      </c>
      <c r="F434">
        <v>220</v>
      </c>
      <c r="G434">
        <v>4.5999999999999996</v>
      </c>
      <c r="H434">
        <v>2024</v>
      </c>
      <c r="I434" t="s">
        <v>1066</v>
      </c>
      <c r="J434" t="s">
        <v>1087</v>
      </c>
      <c r="K434">
        <v>5</v>
      </c>
      <c r="L434" t="s">
        <v>1057</v>
      </c>
      <c r="M434">
        <v>9</v>
      </c>
    </row>
    <row r="435" spans="1:13" x14ac:dyDescent="0.3">
      <c r="A435" t="s">
        <v>765</v>
      </c>
      <c r="B435" t="s">
        <v>18</v>
      </c>
      <c r="C435">
        <v>108</v>
      </c>
      <c r="D435" t="s">
        <v>10</v>
      </c>
      <c r="E435" s="32">
        <v>45190</v>
      </c>
      <c r="F435">
        <v>180</v>
      </c>
      <c r="G435">
        <v>4</v>
      </c>
      <c r="H435">
        <v>2024</v>
      </c>
      <c r="I435" t="s">
        <v>1066</v>
      </c>
      <c r="J435" t="s">
        <v>1087</v>
      </c>
      <c r="K435">
        <v>4</v>
      </c>
      <c r="L435" t="s">
        <v>1057</v>
      </c>
      <c r="M435">
        <v>9</v>
      </c>
    </row>
    <row r="436" spans="1:13" x14ac:dyDescent="0.3">
      <c r="A436" t="s">
        <v>767</v>
      </c>
      <c r="B436" t="s">
        <v>16</v>
      </c>
      <c r="C436">
        <v>136</v>
      </c>
      <c r="D436" t="s">
        <v>10</v>
      </c>
      <c r="E436" s="32">
        <v>45190</v>
      </c>
      <c r="F436">
        <v>36</v>
      </c>
      <c r="G436">
        <v>2.8</v>
      </c>
      <c r="H436">
        <v>2024</v>
      </c>
      <c r="I436" t="s">
        <v>1066</v>
      </c>
      <c r="J436" t="s">
        <v>1089</v>
      </c>
      <c r="K436">
        <v>3</v>
      </c>
      <c r="L436" t="s">
        <v>1057</v>
      </c>
      <c r="M436">
        <v>9</v>
      </c>
    </row>
    <row r="437" spans="1:13" x14ac:dyDescent="0.3">
      <c r="A437" t="s">
        <v>769</v>
      </c>
      <c r="B437" t="s">
        <v>18</v>
      </c>
      <c r="C437">
        <v>120</v>
      </c>
      <c r="D437" t="s">
        <v>10</v>
      </c>
      <c r="E437" s="32">
        <v>45191</v>
      </c>
      <c r="F437">
        <v>38</v>
      </c>
      <c r="G437">
        <v>4.2</v>
      </c>
      <c r="H437">
        <v>2024</v>
      </c>
      <c r="I437" t="s">
        <v>1062</v>
      </c>
      <c r="J437" t="s">
        <v>1087</v>
      </c>
      <c r="K437">
        <v>4</v>
      </c>
      <c r="L437" t="s">
        <v>1057</v>
      </c>
      <c r="M437">
        <v>9</v>
      </c>
    </row>
    <row r="438" spans="1:13" x14ac:dyDescent="0.3">
      <c r="A438" t="s">
        <v>771</v>
      </c>
      <c r="B438" t="s">
        <v>15</v>
      </c>
      <c r="C438">
        <v>79</v>
      </c>
      <c r="D438" t="s">
        <v>10</v>
      </c>
      <c r="E438" s="32">
        <v>45192</v>
      </c>
      <c r="F438">
        <v>215</v>
      </c>
      <c r="G438">
        <v>4.5999999999999996</v>
      </c>
      <c r="H438">
        <v>2024</v>
      </c>
      <c r="I438" t="s">
        <v>1064</v>
      </c>
      <c r="J438" t="s">
        <v>1087</v>
      </c>
      <c r="K438">
        <v>5</v>
      </c>
      <c r="L438" t="s">
        <v>1057</v>
      </c>
      <c r="M438">
        <v>9</v>
      </c>
    </row>
    <row r="439" spans="1:13" x14ac:dyDescent="0.3">
      <c r="A439" t="s">
        <v>772</v>
      </c>
      <c r="B439" t="s">
        <v>15</v>
      </c>
      <c r="C439">
        <v>45</v>
      </c>
      <c r="D439" t="s">
        <v>11</v>
      </c>
      <c r="E439" s="32">
        <v>45192</v>
      </c>
      <c r="F439">
        <v>92</v>
      </c>
      <c r="G439">
        <v>4.3</v>
      </c>
      <c r="H439">
        <v>2024</v>
      </c>
      <c r="I439" t="s">
        <v>1064</v>
      </c>
      <c r="J439" t="s">
        <v>1088</v>
      </c>
      <c r="K439">
        <v>4</v>
      </c>
      <c r="L439" t="s">
        <v>1057</v>
      </c>
      <c r="M439">
        <v>9</v>
      </c>
    </row>
    <row r="440" spans="1:13" x14ac:dyDescent="0.3">
      <c r="A440" t="s">
        <v>773</v>
      </c>
      <c r="B440" t="s">
        <v>8</v>
      </c>
      <c r="C440">
        <v>96</v>
      </c>
      <c r="D440" t="s">
        <v>10</v>
      </c>
      <c r="E440" s="32">
        <v>45192</v>
      </c>
      <c r="F440">
        <v>80</v>
      </c>
      <c r="G440">
        <v>3.6</v>
      </c>
      <c r="H440">
        <v>2024</v>
      </c>
      <c r="I440" t="s">
        <v>1064</v>
      </c>
      <c r="J440" t="s">
        <v>1087</v>
      </c>
      <c r="K440">
        <v>4</v>
      </c>
      <c r="L440" t="s">
        <v>1057</v>
      </c>
      <c r="M440">
        <v>9</v>
      </c>
    </row>
    <row r="441" spans="1:13" x14ac:dyDescent="0.3">
      <c r="A441" t="s">
        <v>774</v>
      </c>
      <c r="B441" t="s">
        <v>8</v>
      </c>
      <c r="C441">
        <v>81</v>
      </c>
      <c r="D441" t="s">
        <v>10</v>
      </c>
      <c r="E441" s="32">
        <v>45193</v>
      </c>
      <c r="F441">
        <v>123</v>
      </c>
      <c r="G441">
        <v>4.9000000000000004</v>
      </c>
      <c r="H441">
        <v>2024</v>
      </c>
      <c r="I441" t="s">
        <v>1065</v>
      </c>
      <c r="J441" t="s">
        <v>1087</v>
      </c>
      <c r="K441">
        <v>5</v>
      </c>
      <c r="L441" t="s">
        <v>1057</v>
      </c>
      <c r="M441">
        <v>9</v>
      </c>
    </row>
    <row r="442" spans="1:13" x14ac:dyDescent="0.3">
      <c r="A442" t="s">
        <v>775</v>
      </c>
      <c r="B442" t="s">
        <v>16</v>
      </c>
      <c r="C442">
        <v>95</v>
      </c>
      <c r="D442" t="s">
        <v>13</v>
      </c>
      <c r="E442" s="32">
        <v>45193</v>
      </c>
      <c r="F442">
        <v>23</v>
      </c>
      <c r="G442">
        <v>2.4</v>
      </c>
      <c r="H442">
        <v>2024</v>
      </c>
      <c r="I442" t="s">
        <v>1065</v>
      </c>
      <c r="J442" t="s">
        <v>1087</v>
      </c>
      <c r="K442">
        <v>2</v>
      </c>
      <c r="L442" t="s">
        <v>1057</v>
      </c>
      <c r="M442">
        <v>9</v>
      </c>
    </row>
    <row r="443" spans="1:13" x14ac:dyDescent="0.3">
      <c r="A443" t="s">
        <v>776</v>
      </c>
      <c r="B443" t="s">
        <v>19</v>
      </c>
      <c r="C443">
        <v>159</v>
      </c>
      <c r="D443" t="s">
        <v>9</v>
      </c>
      <c r="E443" s="32">
        <v>45193</v>
      </c>
      <c r="F443">
        <v>63</v>
      </c>
      <c r="G443">
        <v>4.2</v>
      </c>
      <c r="H443">
        <v>2024</v>
      </c>
      <c r="I443" t="s">
        <v>1065</v>
      </c>
      <c r="J443" t="s">
        <v>1089</v>
      </c>
      <c r="K443">
        <v>4</v>
      </c>
      <c r="L443" t="s">
        <v>1057</v>
      </c>
      <c r="M443">
        <v>9</v>
      </c>
    </row>
    <row r="444" spans="1:13" x14ac:dyDescent="0.3">
      <c r="A444" t="s">
        <v>777</v>
      </c>
      <c r="B444" t="s">
        <v>5</v>
      </c>
      <c r="C444">
        <v>109</v>
      </c>
      <c r="D444" t="s">
        <v>6</v>
      </c>
      <c r="E444" s="32">
        <v>45193</v>
      </c>
      <c r="F444">
        <v>52</v>
      </c>
      <c r="G444">
        <v>3.9</v>
      </c>
      <c r="H444">
        <v>2024</v>
      </c>
      <c r="I444" t="s">
        <v>1065</v>
      </c>
      <c r="J444" t="s">
        <v>1087</v>
      </c>
      <c r="K444">
        <v>4</v>
      </c>
      <c r="L444" t="s">
        <v>1057</v>
      </c>
      <c r="M444">
        <v>9</v>
      </c>
    </row>
    <row r="445" spans="1:13" x14ac:dyDescent="0.3">
      <c r="A445" t="s">
        <v>778</v>
      </c>
      <c r="B445" t="s">
        <v>15</v>
      </c>
      <c r="C445">
        <v>107</v>
      </c>
      <c r="D445" t="s">
        <v>6</v>
      </c>
      <c r="E445" s="32">
        <v>45193</v>
      </c>
      <c r="F445">
        <v>60</v>
      </c>
      <c r="G445">
        <v>4.2</v>
      </c>
      <c r="H445">
        <v>2024</v>
      </c>
      <c r="I445" t="s">
        <v>1065</v>
      </c>
      <c r="J445" t="s">
        <v>1087</v>
      </c>
      <c r="K445">
        <v>4</v>
      </c>
      <c r="L445" t="s">
        <v>1057</v>
      </c>
      <c r="M445">
        <v>9</v>
      </c>
    </row>
    <row r="446" spans="1:13" x14ac:dyDescent="0.3">
      <c r="A446" t="s">
        <v>779</v>
      </c>
      <c r="B446" t="s">
        <v>8</v>
      </c>
      <c r="C446">
        <v>67</v>
      </c>
      <c r="D446" t="s">
        <v>11</v>
      </c>
      <c r="E446" s="32">
        <v>45194</v>
      </c>
      <c r="F446">
        <v>87</v>
      </c>
      <c r="G446">
        <v>3.9</v>
      </c>
      <c r="H446">
        <v>2024</v>
      </c>
      <c r="I446" t="s">
        <v>1063</v>
      </c>
      <c r="J446" t="s">
        <v>1087</v>
      </c>
      <c r="K446">
        <v>4</v>
      </c>
      <c r="L446" t="s">
        <v>1057</v>
      </c>
      <c r="M446">
        <v>9</v>
      </c>
    </row>
    <row r="447" spans="1:13" x14ac:dyDescent="0.3">
      <c r="A447" t="s">
        <v>789</v>
      </c>
      <c r="B447" t="s">
        <v>19</v>
      </c>
      <c r="C447">
        <v>64</v>
      </c>
      <c r="D447" t="s">
        <v>13</v>
      </c>
      <c r="E447" s="32">
        <v>45198</v>
      </c>
      <c r="F447">
        <v>112</v>
      </c>
      <c r="G447">
        <v>2</v>
      </c>
      <c r="H447">
        <v>2024</v>
      </c>
      <c r="I447" t="s">
        <v>1062</v>
      </c>
      <c r="J447" t="s">
        <v>1087</v>
      </c>
      <c r="K447">
        <v>2</v>
      </c>
      <c r="L447" t="s">
        <v>1057</v>
      </c>
      <c r="M447">
        <v>9</v>
      </c>
    </row>
    <row r="448" spans="1:13" x14ac:dyDescent="0.3">
      <c r="A448" t="s">
        <v>790</v>
      </c>
      <c r="B448" t="s">
        <v>22</v>
      </c>
      <c r="C448">
        <v>127</v>
      </c>
      <c r="D448" t="s">
        <v>9</v>
      </c>
      <c r="E448" s="32">
        <v>45198</v>
      </c>
      <c r="F448">
        <v>112</v>
      </c>
      <c r="G448">
        <v>4.5999999999999996</v>
      </c>
      <c r="H448">
        <v>2024</v>
      </c>
      <c r="I448" t="s">
        <v>1062</v>
      </c>
      <c r="J448" t="s">
        <v>1089</v>
      </c>
      <c r="K448">
        <v>5</v>
      </c>
      <c r="L448" t="s">
        <v>1057</v>
      </c>
      <c r="M448">
        <v>9</v>
      </c>
    </row>
    <row r="449" spans="1:13" x14ac:dyDescent="0.3">
      <c r="A449" t="s">
        <v>791</v>
      </c>
      <c r="B449" t="s">
        <v>5</v>
      </c>
      <c r="C449">
        <v>124</v>
      </c>
      <c r="D449" t="s">
        <v>11</v>
      </c>
      <c r="E449" s="32">
        <v>45198</v>
      </c>
      <c r="F449">
        <v>48</v>
      </c>
      <c r="G449">
        <v>3.7</v>
      </c>
      <c r="H449">
        <v>2024</v>
      </c>
      <c r="I449" t="s">
        <v>1062</v>
      </c>
      <c r="J449" t="s">
        <v>1089</v>
      </c>
      <c r="K449">
        <v>4</v>
      </c>
      <c r="L449" t="s">
        <v>1057</v>
      </c>
      <c r="M449">
        <v>9</v>
      </c>
    </row>
    <row r="450" spans="1:13" x14ac:dyDescent="0.3">
      <c r="A450" t="s">
        <v>792</v>
      </c>
      <c r="B450" t="s">
        <v>19</v>
      </c>
      <c r="C450">
        <v>125</v>
      </c>
      <c r="D450" t="s">
        <v>9</v>
      </c>
      <c r="E450" s="32">
        <v>45198</v>
      </c>
      <c r="F450">
        <v>116</v>
      </c>
      <c r="G450">
        <v>4.4000000000000004</v>
      </c>
      <c r="H450">
        <v>2024</v>
      </c>
      <c r="I450" t="s">
        <v>1062</v>
      </c>
      <c r="J450" t="s">
        <v>1089</v>
      </c>
      <c r="K450">
        <v>4</v>
      </c>
      <c r="L450" t="s">
        <v>1057</v>
      </c>
      <c r="M450">
        <v>9</v>
      </c>
    </row>
    <row r="451" spans="1:13" x14ac:dyDescent="0.3">
      <c r="A451" t="s">
        <v>794</v>
      </c>
      <c r="B451" t="s">
        <v>22</v>
      </c>
      <c r="C451">
        <v>93</v>
      </c>
      <c r="D451" t="s">
        <v>13</v>
      </c>
      <c r="E451" s="32">
        <v>45199</v>
      </c>
      <c r="F451">
        <v>170</v>
      </c>
      <c r="G451">
        <v>2.2000000000000002</v>
      </c>
      <c r="H451">
        <v>2024</v>
      </c>
      <c r="I451" t="s">
        <v>1064</v>
      </c>
      <c r="J451" t="s">
        <v>1087</v>
      </c>
      <c r="K451">
        <v>2</v>
      </c>
      <c r="L451" t="s">
        <v>1057</v>
      </c>
      <c r="M451">
        <v>9</v>
      </c>
    </row>
    <row r="452" spans="1:13" x14ac:dyDescent="0.3">
      <c r="A452" t="s">
        <v>796</v>
      </c>
      <c r="B452" t="s">
        <v>8</v>
      </c>
      <c r="C452">
        <v>96</v>
      </c>
      <c r="D452" t="s">
        <v>10</v>
      </c>
      <c r="E452" s="32">
        <v>45199</v>
      </c>
      <c r="F452">
        <v>195</v>
      </c>
      <c r="G452">
        <v>2.7</v>
      </c>
      <c r="H452">
        <v>2024</v>
      </c>
      <c r="I452" t="s">
        <v>1064</v>
      </c>
      <c r="J452" t="s">
        <v>1087</v>
      </c>
      <c r="K452">
        <v>3</v>
      </c>
      <c r="L452" t="s">
        <v>1057</v>
      </c>
      <c r="M452">
        <v>9</v>
      </c>
    </row>
    <row r="453" spans="1:13" x14ac:dyDescent="0.3">
      <c r="A453" t="s">
        <v>797</v>
      </c>
      <c r="B453" t="s">
        <v>21</v>
      </c>
      <c r="C453">
        <v>67</v>
      </c>
      <c r="D453" t="s">
        <v>10</v>
      </c>
      <c r="E453" s="32">
        <v>45199</v>
      </c>
      <c r="F453">
        <v>96</v>
      </c>
      <c r="G453">
        <v>3.7</v>
      </c>
      <c r="H453">
        <v>2024</v>
      </c>
      <c r="I453" t="s">
        <v>1064</v>
      </c>
      <c r="J453" t="s">
        <v>1087</v>
      </c>
      <c r="K453">
        <v>4</v>
      </c>
      <c r="L453" t="s">
        <v>1057</v>
      </c>
      <c r="M453">
        <v>9</v>
      </c>
    </row>
    <row r="454" spans="1:13" x14ac:dyDescent="0.3">
      <c r="A454" t="s">
        <v>798</v>
      </c>
      <c r="B454" t="s">
        <v>19</v>
      </c>
      <c r="C454">
        <v>119</v>
      </c>
      <c r="D454" t="s">
        <v>10</v>
      </c>
      <c r="E454" s="32">
        <v>45199</v>
      </c>
      <c r="F454">
        <v>96</v>
      </c>
      <c r="G454">
        <v>3.1</v>
      </c>
      <c r="H454">
        <v>2024</v>
      </c>
      <c r="I454" t="s">
        <v>1064</v>
      </c>
      <c r="J454" t="s">
        <v>1087</v>
      </c>
      <c r="K454">
        <v>3</v>
      </c>
      <c r="L454" t="s">
        <v>1057</v>
      </c>
      <c r="M454">
        <v>9</v>
      </c>
    </row>
    <row r="455" spans="1:13" x14ac:dyDescent="0.3">
      <c r="A455" t="s">
        <v>799</v>
      </c>
      <c r="B455" t="s">
        <v>5</v>
      </c>
      <c r="C455">
        <v>61</v>
      </c>
      <c r="D455" t="s">
        <v>11</v>
      </c>
      <c r="E455" s="32">
        <v>45199</v>
      </c>
      <c r="F455">
        <v>117</v>
      </c>
      <c r="G455">
        <v>4.0999999999999996</v>
      </c>
      <c r="H455">
        <v>2024</v>
      </c>
      <c r="I455" t="s">
        <v>1064</v>
      </c>
      <c r="J455" t="s">
        <v>1087</v>
      </c>
      <c r="K455">
        <v>4</v>
      </c>
      <c r="L455" t="s">
        <v>1057</v>
      </c>
      <c r="M455">
        <v>9</v>
      </c>
    </row>
    <row r="456" spans="1:13" x14ac:dyDescent="0.3">
      <c r="A456" t="s">
        <v>800</v>
      </c>
      <c r="B456" t="s">
        <v>8</v>
      </c>
      <c r="C456">
        <v>29</v>
      </c>
      <c r="D456" t="s">
        <v>13</v>
      </c>
      <c r="E456" s="32">
        <v>45199</v>
      </c>
      <c r="F456">
        <v>80</v>
      </c>
      <c r="G456">
        <v>4.8</v>
      </c>
      <c r="H456">
        <v>2024</v>
      </c>
      <c r="I456" t="s">
        <v>1064</v>
      </c>
      <c r="J456" t="s">
        <v>1091</v>
      </c>
      <c r="K456">
        <v>5</v>
      </c>
      <c r="L456" t="s">
        <v>1057</v>
      </c>
      <c r="M456">
        <v>9</v>
      </c>
    </row>
    <row r="457" spans="1:13" x14ac:dyDescent="0.3">
      <c r="A457" t="s">
        <v>804</v>
      </c>
      <c r="B457" t="s">
        <v>14</v>
      </c>
      <c r="C457">
        <v>78</v>
      </c>
      <c r="D457" t="s">
        <v>13</v>
      </c>
      <c r="E457" s="32">
        <v>45200</v>
      </c>
      <c r="F457">
        <v>135</v>
      </c>
      <c r="G457">
        <v>4.0999999999999996</v>
      </c>
      <c r="H457">
        <v>2024</v>
      </c>
      <c r="I457" t="s">
        <v>1065</v>
      </c>
      <c r="J457" t="s">
        <v>1087</v>
      </c>
      <c r="K457">
        <v>4</v>
      </c>
      <c r="L457" t="s">
        <v>1058</v>
      </c>
      <c r="M457">
        <v>10</v>
      </c>
    </row>
    <row r="458" spans="1:13" x14ac:dyDescent="0.3">
      <c r="A458" t="s">
        <v>805</v>
      </c>
      <c r="B458" t="s">
        <v>19</v>
      </c>
      <c r="C458">
        <v>82</v>
      </c>
      <c r="D458" t="s">
        <v>9</v>
      </c>
      <c r="E458" s="32">
        <v>45200</v>
      </c>
      <c r="F458">
        <v>99</v>
      </c>
      <c r="G458">
        <v>4.2</v>
      </c>
      <c r="H458">
        <v>2024</v>
      </c>
      <c r="I458" t="s">
        <v>1065</v>
      </c>
      <c r="J458" t="s">
        <v>1087</v>
      </c>
      <c r="K458">
        <v>4</v>
      </c>
      <c r="L458" t="s">
        <v>1058</v>
      </c>
      <c r="M458">
        <v>10</v>
      </c>
    </row>
    <row r="459" spans="1:13" x14ac:dyDescent="0.3">
      <c r="A459" t="s">
        <v>806</v>
      </c>
      <c r="B459" t="s">
        <v>18</v>
      </c>
      <c r="C459">
        <v>149</v>
      </c>
      <c r="D459" t="s">
        <v>11</v>
      </c>
      <c r="E459" s="32">
        <v>45200</v>
      </c>
      <c r="F459">
        <v>130</v>
      </c>
      <c r="G459">
        <v>3.3</v>
      </c>
      <c r="H459">
        <v>2024</v>
      </c>
      <c r="I459" t="s">
        <v>1065</v>
      </c>
      <c r="J459" t="s">
        <v>1089</v>
      </c>
      <c r="K459">
        <v>3</v>
      </c>
      <c r="L459" t="s">
        <v>1058</v>
      </c>
      <c r="M459">
        <v>10</v>
      </c>
    </row>
    <row r="460" spans="1:13" x14ac:dyDescent="0.3">
      <c r="A460" t="s">
        <v>807</v>
      </c>
      <c r="B460" t="s">
        <v>15</v>
      </c>
      <c r="C460">
        <v>56</v>
      </c>
      <c r="D460" t="s">
        <v>6</v>
      </c>
      <c r="E460" s="32">
        <v>45200</v>
      </c>
      <c r="F460">
        <v>96</v>
      </c>
      <c r="G460">
        <v>4.7</v>
      </c>
      <c r="H460">
        <v>2024</v>
      </c>
      <c r="I460" t="s">
        <v>1065</v>
      </c>
      <c r="J460" t="s">
        <v>1088</v>
      </c>
      <c r="K460">
        <v>5</v>
      </c>
      <c r="L460" t="s">
        <v>1058</v>
      </c>
      <c r="M460">
        <v>10</v>
      </c>
    </row>
    <row r="461" spans="1:13" x14ac:dyDescent="0.3">
      <c r="A461" t="s">
        <v>808</v>
      </c>
      <c r="B461" t="s">
        <v>8</v>
      </c>
      <c r="C461">
        <v>80</v>
      </c>
      <c r="D461" t="s">
        <v>11</v>
      </c>
      <c r="E461" s="32">
        <v>45200</v>
      </c>
      <c r="F461">
        <v>128</v>
      </c>
      <c r="G461">
        <v>3.7</v>
      </c>
      <c r="H461">
        <v>2024</v>
      </c>
      <c r="I461" t="s">
        <v>1065</v>
      </c>
      <c r="J461" t="s">
        <v>1087</v>
      </c>
      <c r="K461">
        <v>4</v>
      </c>
      <c r="L461" t="s">
        <v>1058</v>
      </c>
      <c r="M461">
        <v>10</v>
      </c>
    </row>
    <row r="462" spans="1:13" x14ac:dyDescent="0.3">
      <c r="A462" t="s">
        <v>809</v>
      </c>
      <c r="B462" t="s">
        <v>5</v>
      </c>
      <c r="C462">
        <v>131</v>
      </c>
      <c r="D462" t="s">
        <v>10</v>
      </c>
      <c r="E462" s="32">
        <v>45200</v>
      </c>
      <c r="F462">
        <v>69</v>
      </c>
      <c r="G462">
        <v>4.7</v>
      </c>
      <c r="H462">
        <v>2024</v>
      </c>
      <c r="I462" t="s">
        <v>1065</v>
      </c>
      <c r="J462" t="s">
        <v>1089</v>
      </c>
      <c r="K462">
        <v>5</v>
      </c>
      <c r="L462" t="s">
        <v>1058</v>
      </c>
      <c r="M462">
        <v>10</v>
      </c>
    </row>
    <row r="463" spans="1:13" x14ac:dyDescent="0.3">
      <c r="A463" t="s">
        <v>810</v>
      </c>
      <c r="B463" t="s">
        <v>5</v>
      </c>
      <c r="C463">
        <v>109</v>
      </c>
      <c r="D463" t="s">
        <v>10</v>
      </c>
      <c r="E463" s="32">
        <v>45200</v>
      </c>
      <c r="F463">
        <v>44</v>
      </c>
      <c r="G463">
        <v>4.5999999999999996</v>
      </c>
      <c r="H463">
        <v>2024</v>
      </c>
      <c r="I463" t="s">
        <v>1065</v>
      </c>
      <c r="J463" t="s">
        <v>1087</v>
      </c>
      <c r="K463">
        <v>5</v>
      </c>
      <c r="L463" t="s">
        <v>1058</v>
      </c>
      <c r="M463">
        <v>10</v>
      </c>
    </row>
    <row r="464" spans="1:13" x14ac:dyDescent="0.3">
      <c r="A464" t="s">
        <v>811</v>
      </c>
      <c r="B464" t="s">
        <v>15</v>
      </c>
      <c r="C464">
        <v>142</v>
      </c>
      <c r="D464" t="s">
        <v>10</v>
      </c>
      <c r="E464" s="32">
        <v>45200</v>
      </c>
      <c r="F464">
        <v>44</v>
      </c>
      <c r="G464">
        <v>4.8</v>
      </c>
      <c r="H464">
        <v>2024</v>
      </c>
      <c r="I464" t="s">
        <v>1065</v>
      </c>
      <c r="J464" t="s">
        <v>1089</v>
      </c>
      <c r="K464">
        <v>5</v>
      </c>
      <c r="L464" t="s">
        <v>1058</v>
      </c>
      <c r="M464">
        <v>10</v>
      </c>
    </row>
    <row r="465" spans="1:13" x14ac:dyDescent="0.3">
      <c r="A465" t="s">
        <v>812</v>
      </c>
      <c r="B465" t="s">
        <v>22</v>
      </c>
      <c r="C465">
        <v>114</v>
      </c>
      <c r="D465" t="s">
        <v>6</v>
      </c>
      <c r="E465" s="32">
        <v>45201</v>
      </c>
      <c r="F465">
        <v>135</v>
      </c>
      <c r="G465">
        <v>2</v>
      </c>
      <c r="H465">
        <v>2024</v>
      </c>
      <c r="I465" t="s">
        <v>1063</v>
      </c>
      <c r="J465" t="s">
        <v>1087</v>
      </c>
      <c r="K465">
        <v>2</v>
      </c>
      <c r="L465" t="s">
        <v>1058</v>
      </c>
      <c r="M465">
        <v>10</v>
      </c>
    </row>
    <row r="466" spans="1:13" x14ac:dyDescent="0.3">
      <c r="A466" t="s">
        <v>813</v>
      </c>
      <c r="B466" t="s">
        <v>21</v>
      </c>
      <c r="C466">
        <v>93</v>
      </c>
      <c r="D466" t="s">
        <v>11</v>
      </c>
      <c r="E466" s="32">
        <v>45201</v>
      </c>
      <c r="F466">
        <v>45</v>
      </c>
      <c r="G466">
        <v>3.9</v>
      </c>
      <c r="H466">
        <v>2024</v>
      </c>
      <c r="I466" t="s">
        <v>1063</v>
      </c>
      <c r="J466" t="s">
        <v>1087</v>
      </c>
      <c r="K466">
        <v>4</v>
      </c>
      <c r="L466" t="s">
        <v>1058</v>
      </c>
      <c r="M466">
        <v>10</v>
      </c>
    </row>
    <row r="467" spans="1:13" x14ac:dyDescent="0.3">
      <c r="A467" t="s">
        <v>816</v>
      </c>
      <c r="B467" t="s">
        <v>22</v>
      </c>
      <c r="C467">
        <v>89</v>
      </c>
      <c r="D467" t="s">
        <v>10</v>
      </c>
      <c r="E467" s="32">
        <v>45202</v>
      </c>
      <c r="F467">
        <v>81</v>
      </c>
      <c r="G467">
        <v>3.8</v>
      </c>
      <c r="H467">
        <v>2024</v>
      </c>
      <c r="I467" t="s">
        <v>1067</v>
      </c>
      <c r="J467" t="s">
        <v>1087</v>
      </c>
      <c r="K467">
        <v>4</v>
      </c>
      <c r="L467" t="s">
        <v>1058</v>
      </c>
      <c r="M467">
        <v>10</v>
      </c>
    </row>
    <row r="468" spans="1:13" x14ac:dyDescent="0.3">
      <c r="A468" t="s">
        <v>817</v>
      </c>
      <c r="B468" t="s">
        <v>15</v>
      </c>
      <c r="C468">
        <v>82</v>
      </c>
      <c r="D468" t="s">
        <v>9</v>
      </c>
      <c r="E468" s="32">
        <v>45202</v>
      </c>
      <c r="F468">
        <v>130</v>
      </c>
      <c r="G468">
        <v>4.4000000000000004</v>
      </c>
      <c r="H468">
        <v>2024</v>
      </c>
      <c r="I468" t="s">
        <v>1067</v>
      </c>
      <c r="J468" t="s">
        <v>1087</v>
      </c>
      <c r="K468">
        <v>4</v>
      </c>
      <c r="L468" t="s">
        <v>1058</v>
      </c>
      <c r="M468">
        <v>10</v>
      </c>
    </row>
    <row r="469" spans="1:13" x14ac:dyDescent="0.3">
      <c r="A469" t="s">
        <v>818</v>
      </c>
      <c r="B469" t="s">
        <v>8</v>
      </c>
      <c r="C469">
        <v>86</v>
      </c>
      <c r="D469" t="s">
        <v>10</v>
      </c>
      <c r="E469" s="32">
        <v>45203</v>
      </c>
      <c r="F469">
        <v>92</v>
      </c>
      <c r="G469">
        <v>2.4</v>
      </c>
      <c r="H469">
        <v>2024</v>
      </c>
      <c r="I469" t="s">
        <v>1068</v>
      </c>
      <c r="J469" t="s">
        <v>1087</v>
      </c>
      <c r="K469">
        <v>2</v>
      </c>
      <c r="L469" t="s">
        <v>1058</v>
      </c>
      <c r="M469">
        <v>10</v>
      </c>
    </row>
    <row r="470" spans="1:13" x14ac:dyDescent="0.3">
      <c r="A470" t="s">
        <v>819</v>
      </c>
      <c r="B470" t="s">
        <v>16</v>
      </c>
      <c r="C470">
        <v>57</v>
      </c>
      <c r="D470" t="s">
        <v>13</v>
      </c>
      <c r="E470" s="32">
        <v>45203</v>
      </c>
      <c r="F470">
        <v>48</v>
      </c>
      <c r="G470">
        <v>4.5</v>
      </c>
      <c r="H470">
        <v>2024</v>
      </c>
      <c r="I470" t="s">
        <v>1068</v>
      </c>
      <c r="J470" t="s">
        <v>1088</v>
      </c>
      <c r="K470">
        <v>5</v>
      </c>
      <c r="L470" t="s">
        <v>1058</v>
      </c>
      <c r="M470">
        <v>10</v>
      </c>
    </row>
    <row r="471" spans="1:13" x14ac:dyDescent="0.3">
      <c r="A471" t="s">
        <v>820</v>
      </c>
      <c r="B471" t="s">
        <v>21</v>
      </c>
      <c r="C471">
        <v>103</v>
      </c>
      <c r="D471" t="s">
        <v>6</v>
      </c>
      <c r="E471" s="32">
        <v>45203</v>
      </c>
      <c r="F471">
        <v>160</v>
      </c>
      <c r="G471">
        <v>4.5</v>
      </c>
      <c r="H471">
        <v>2024</v>
      </c>
      <c r="I471" t="s">
        <v>1068</v>
      </c>
      <c r="J471" t="s">
        <v>1087</v>
      </c>
      <c r="K471">
        <v>5</v>
      </c>
      <c r="L471" t="s">
        <v>1058</v>
      </c>
      <c r="M471">
        <v>10</v>
      </c>
    </row>
    <row r="472" spans="1:13" x14ac:dyDescent="0.3">
      <c r="A472" t="s">
        <v>821</v>
      </c>
      <c r="B472" t="s">
        <v>14</v>
      </c>
      <c r="C472">
        <v>138</v>
      </c>
      <c r="D472" t="s">
        <v>13</v>
      </c>
      <c r="E472" s="32">
        <v>45204</v>
      </c>
      <c r="F472">
        <v>155</v>
      </c>
      <c r="G472">
        <v>2.7</v>
      </c>
      <c r="H472">
        <v>2024</v>
      </c>
      <c r="I472" t="s">
        <v>1066</v>
      </c>
      <c r="J472" t="s">
        <v>1089</v>
      </c>
      <c r="K472">
        <v>3</v>
      </c>
      <c r="L472" t="s">
        <v>1058</v>
      </c>
      <c r="M472">
        <v>10</v>
      </c>
    </row>
    <row r="473" spans="1:13" x14ac:dyDescent="0.3">
      <c r="A473" t="s">
        <v>822</v>
      </c>
      <c r="B473" t="s">
        <v>18</v>
      </c>
      <c r="C473">
        <v>88</v>
      </c>
      <c r="D473" t="s">
        <v>9</v>
      </c>
      <c r="E473" s="32">
        <v>45204</v>
      </c>
      <c r="F473">
        <v>100</v>
      </c>
      <c r="G473">
        <v>4.9000000000000004</v>
      </c>
      <c r="H473">
        <v>2024</v>
      </c>
      <c r="I473" t="s">
        <v>1066</v>
      </c>
      <c r="J473" t="s">
        <v>1087</v>
      </c>
      <c r="K473">
        <v>5</v>
      </c>
      <c r="L473" t="s">
        <v>1058</v>
      </c>
      <c r="M473">
        <v>10</v>
      </c>
    </row>
    <row r="474" spans="1:13" x14ac:dyDescent="0.3">
      <c r="A474" t="s">
        <v>823</v>
      </c>
      <c r="B474" t="s">
        <v>22</v>
      </c>
      <c r="C474">
        <v>118</v>
      </c>
      <c r="D474" t="s">
        <v>11</v>
      </c>
      <c r="E474" s="32">
        <v>45204</v>
      </c>
      <c r="F474">
        <v>56</v>
      </c>
      <c r="G474">
        <v>3.7</v>
      </c>
      <c r="H474">
        <v>2024</v>
      </c>
      <c r="I474" t="s">
        <v>1066</v>
      </c>
      <c r="J474" t="s">
        <v>1087</v>
      </c>
      <c r="K474">
        <v>4</v>
      </c>
      <c r="L474" t="s">
        <v>1058</v>
      </c>
      <c r="M474">
        <v>10</v>
      </c>
    </row>
    <row r="475" spans="1:13" x14ac:dyDescent="0.3">
      <c r="A475" t="s">
        <v>824</v>
      </c>
      <c r="B475" t="s">
        <v>8</v>
      </c>
      <c r="C475">
        <v>4</v>
      </c>
      <c r="D475" t="s">
        <v>10</v>
      </c>
      <c r="E475" s="32">
        <v>45204</v>
      </c>
      <c r="F475">
        <v>170</v>
      </c>
      <c r="G475">
        <v>3.9</v>
      </c>
      <c r="H475">
        <v>2024</v>
      </c>
      <c r="I475" t="s">
        <v>1066</v>
      </c>
      <c r="J475" t="s">
        <v>1090</v>
      </c>
      <c r="K475">
        <v>4</v>
      </c>
      <c r="L475" t="s">
        <v>1058</v>
      </c>
      <c r="M475">
        <v>10</v>
      </c>
    </row>
    <row r="476" spans="1:13" x14ac:dyDescent="0.3">
      <c r="A476" t="s">
        <v>827</v>
      </c>
      <c r="B476" t="s">
        <v>15</v>
      </c>
      <c r="C476">
        <v>90</v>
      </c>
      <c r="D476" t="s">
        <v>13</v>
      </c>
      <c r="E476" s="32">
        <v>45205</v>
      </c>
      <c r="F476">
        <v>84</v>
      </c>
      <c r="G476">
        <v>3.9</v>
      </c>
      <c r="H476">
        <v>2024</v>
      </c>
      <c r="I476" t="s">
        <v>1062</v>
      </c>
      <c r="J476" t="s">
        <v>1087</v>
      </c>
      <c r="K476">
        <v>4</v>
      </c>
      <c r="L476" t="s">
        <v>1058</v>
      </c>
      <c r="M476">
        <v>10</v>
      </c>
    </row>
    <row r="477" spans="1:13" x14ac:dyDescent="0.3">
      <c r="A477" t="s">
        <v>832</v>
      </c>
      <c r="B477" t="s">
        <v>15</v>
      </c>
      <c r="C477">
        <v>66</v>
      </c>
      <c r="D477" t="s">
        <v>6</v>
      </c>
      <c r="E477" s="32">
        <v>45206</v>
      </c>
      <c r="F477">
        <v>136</v>
      </c>
      <c r="G477">
        <v>4.7</v>
      </c>
      <c r="H477">
        <v>2024</v>
      </c>
      <c r="I477" t="s">
        <v>1064</v>
      </c>
      <c r="J477" t="s">
        <v>1087</v>
      </c>
      <c r="K477">
        <v>5</v>
      </c>
      <c r="L477" t="s">
        <v>1058</v>
      </c>
      <c r="M477">
        <v>10</v>
      </c>
    </row>
    <row r="478" spans="1:13" x14ac:dyDescent="0.3">
      <c r="A478" t="s">
        <v>833</v>
      </c>
      <c r="B478" t="s">
        <v>8</v>
      </c>
      <c r="C478">
        <v>150</v>
      </c>
      <c r="D478" t="s">
        <v>6</v>
      </c>
      <c r="E478" s="32">
        <v>45207</v>
      </c>
      <c r="F478">
        <v>70</v>
      </c>
      <c r="G478">
        <v>4.0999999999999996</v>
      </c>
      <c r="H478">
        <v>2024</v>
      </c>
      <c r="I478" t="s">
        <v>1065</v>
      </c>
      <c r="J478" t="s">
        <v>1089</v>
      </c>
      <c r="K478">
        <v>4</v>
      </c>
      <c r="L478" t="s">
        <v>1058</v>
      </c>
      <c r="M478">
        <v>10</v>
      </c>
    </row>
    <row r="479" spans="1:13" x14ac:dyDescent="0.3">
      <c r="A479" t="s">
        <v>836</v>
      </c>
      <c r="B479" t="s">
        <v>14</v>
      </c>
      <c r="C479">
        <v>94</v>
      </c>
      <c r="D479" t="s">
        <v>6</v>
      </c>
      <c r="E479" s="32">
        <v>45208</v>
      </c>
      <c r="F479">
        <v>120</v>
      </c>
      <c r="G479">
        <v>3.4</v>
      </c>
      <c r="H479">
        <v>2024</v>
      </c>
      <c r="I479" t="s">
        <v>1063</v>
      </c>
      <c r="J479" t="s">
        <v>1087</v>
      </c>
      <c r="K479">
        <v>3</v>
      </c>
      <c r="L479" t="s">
        <v>1058</v>
      </c>
      <c r="M479">
        <v>10</v>
      </c>
    </row>
    <row r="480" spans="1:13" x14ac:dyDescent="0.3">
      <c r="A480" t="s">
        <v>837</v>
      </c>
      <c r="B480" t="s">
        <v>16</v>
      </c>
      <c r="C480">
        <v>56</v>
      </c>
      <c r="D480" t="s">
        <v>6</v>
      </c>
      <c r="E480" s="32">
        <v>45208</v>
      </c>
      <c r="F480">
        <v>205</v>
      </c>
      <c r="G480">
        <v>3.3</v>
      </c>
      <c r="H480">
        <v>2024</v>
      </c>
      <c r="I480" t="s">
        <v>1063</v>
      </c>
      <c r="J480" t="s">
        <v>1088</v>
      </c>
      <c r="K480">
        <v>3</v>
      </c>
      <c r="L480" t="s">
        <v>1058</v>
      </c>
      <c r="M480">
        <v>10</v>
      </c>
    </row>
    <row r="481" spans="1:13" x14ac:dyDescent="0.3">
      <c r="A481" t="s">
        <v>838</v>
      </c>
      <c r="B481" t="s">
        <v>22</v>
      </c>
      <c r="C481">
        <v>41</v>
      </c>
      <c r="D481" t="s">
        <v>9</v>
      </c>
      <c r="E481" s="32">
        <v>45209</v>
      </c>
      <c r="F481">
        <v>42</v>
      </c>
      <c r="G481">
        <v>3.8</v>
      </c>
      <c r="H481">
        <v>2024</v>
      </c>
      <c r="I481" t="s">
        <v>1067</v>
      </c>
      <c r="J481" t="s">
        <v>1088</v>
      </c>
      <c r="K481">
        <v>4</v>
      </c>
      <c r="L481" t="s">
        <v>1058</v>
      </c>
      <c r="M481">
        <v>10</v>
      </c>
    </row>
    <row r="482" spans="1:13" x14ac:dyDescent="0.3">
      <c r="A482" t="s">
        <v>839</v>
      </c>
      <c r="B482" t="s">
        <v>8</v>
      </c>
      <c r="C482">
        <v>119</v>
      </c>
      <c r="D482" t="s">
        <v>13</v>
      </c>
      <c r="E482" s="32">
        <v>45209</v>
      </c>
      <c r="F482">
        <v>111</v>
      </c>
      <c r="G482">
        <v>3.9</v>
      </c>
      <c r="H482">
        <v>2024</v>
      </c>
      <c r="I482" t="s">
        <v>1067</v>
      </c>
      <c r="J482" t="s">
        <v>1087</v>
      </c>
      <c r="K482">
        <v>4</v>
      </c>
      <c r="L482" t="s">
        <v>1058</v>
      </c>
      <c r="M482">
        <v>10</v>
      </c>
    </row>
    <row r="483" spans="1:13" x14ac:dyDescent="0.3">
      <c r="A483" t="s">
        <v>840</v>
      </c>
      <c r="B483" t="s">
        <v>21</v>
      </c>
      <c r="C483">
        <v>108</v>
      </c>
      <c r="D483" t="s">
        <v>6</v>
      </c>
      <c r="E483" s="32">
        <v>45209</v>
      </c>
      <c r="F483">
        <v>68</v>
      </c>
      <c r="G483">
        <v>2.5</v>
      </c>
      <c r="H483">
        <v>2024</v>
      </c>
      <c r="I483" t="s">
        <v>1067</v>
      </c>
      <c r="J483" t="s">
        <v>1087</v>
      </c>
      <c r="K483">
        <v>3</v>
      </c>
      <c r="L483" t="s">
        <v>1058</v>
      </c>
      <c r="M483">
        <v>10</v>
      </c>
    </row>
    <row r="484" spans="1:13" x14ac:dyDescent="0.3">
      <c r="A484" t="s">
        <v>842</v>
      </c>
      <c r="B484" t="s">
        <v>19</v>
      </c>
      <c r="C484">
        <v>59</v>
      </c>
      <c r="D484" t="s">
        <v>6</v>
      </c>
      <c r="E484" s="32">
        <v>45209</v>
      </c>
      <c r="F484">
        <v>152</v>
      </c>
      <c r="G484">
        <v>4.8</v>
      </c>
      <c r="H484">
        <v>2024</v>
      </c>
      <c r="I484" t="s">
        <v>1067</v>
      </c>
      <c r="J484" t="s">
        <v>1088</v>
      </c>
      <c r="K484">
        <v>5</v>
      </c>
      <c r="L484" t="s">
        <v>1058</v>
      </c>
      <c r="M484">
        <v>10</v>
      </c>
    </row>
    <row r="485" spans="1:13" x14ac:dyDescent="0.3">
      <c r="A485" t="s">
        <v>843</v>
      </c>
      <c r="B485" t="s">
        <v>19</v>
      </c>
      <c r="C485">
        <v>90</v>
      </c>
      <c r="D485" t="s">
        <v>9</v>
      </c>
      <c r="E485" s="32">
        <v>45209</v>
      </c>
      <c r="F485">
        <v>48</v>
      </c>
      <c r="G485">
        <v>4.7</v>
      </c>
      <c r="H485">
        <v>2024</v>
      </c>
      <c r="I485" t="s">
        <v>1067</v>
      </c>
      <c r="J485" t="s">
        <v>1087</v>
      </c>
      <c r="K485">
        <v>5</v>
      </c>
      <c r="L485" t="s">
        <v>1058</v>
      </c>
      <c r="M485">
        <v>10</v>
      </c>
    </row>
    <row r="486" spans="1:13" x14ac:dyDescent="0.3">
      <c r="A486" t="s">
        <v>844</v>
      </c>
      <c r="B486" t="s">
        <v>18</v>
      </c>
      <c r="C486">
        <v>55</v>
      </c>
      <c r="D486" t="s">
        <v>9</v>
      </c>
      <c r="E486" s="32">
        <v>45209</v>
      </c>
      <c r="F486">
        <v>25</v>
      </c>
      <c r="G486">
        <v>4.7</v>
      </c>
      <c r="H486">
        <v>2024</v>
      </c>
      <c r="I486" t="s">
        <v>1067</v>
      </c>
      <c r="J486" t="s">
        <v>1088</v>
      </c>
      <c r="K486">
        <v>5</v>
      </c>
      <c r="L486" t="s">
        <v>1058</v>
      </c>
      <c r="M486">
        <v>10</v>
      </c>
    </row>
    <row r="487" spans="1:13" x14ac:dyDescent="0.3">
      <c r="A487" t="s">
        <v>845</v>
      </c>
      <c r="B487" t="s">
        <v>21</v>
      </c>
      <c r="C487">
        <v>84</v>
      </c>
      <c r="D487" t="s">
        <v>13</v>
      </c>
      <c r="E487" s="32">
        <v>45210</v>
      </c>
      <c r="F487">
        <v>54</v>
      </c>
      <c r="G487">
        <v>3.3</v>
      </c>
      <c r="H487">
        <v>2024</v>
      </c>
      <c r="I487" t="s">
        <v>1068</v>
      </c>
      <c r="J487" t="s">
        <v>1087</v>
      </c>
      <c r="K487">
        <v>3</v>
      </c>
      <c r="L487" t="s">
        <v>1058</v>
      </c>
      <c r="M487">
        <v>10</v>
      </c>
    </row>
    <row r="488" spans="1:13" x14ac:dyDescent="0.3">
      <c r="A488" t="s">
        <v>846</v>
      </c>
      <c r="B488" t="s">
        <v>21</v>
      </c>
      <c r="C488">
        <v>150</v>
      </c>
      <c r="D488" t="s">
        <v>11</v>
      </c>
      <c r="E488" s="32">
        <v>45210</v>
      </c>
      <c r="F488">
        <v>108</v>
      </c>
      <c r="G488">
        <v>4.7</v>
      </c>
      <c r="H488">
        <v>2024</v>
      </c>
      <c r="I488" t="s">
        <v>1068</v>
      </c>
      <c r="J488" t="s">
        <v>1089</v>
      </c>
      <c r="K488">
        <v>5</v>
      </c>
      <c r="L488" t="s">
        <v>1058</v>
      </c>
      <c r="M488">
        <v>10</v>
      </c>
    </row>
    <row r="489" spans="1:13" x14ac:dyDescent="0.3">
      <c r="A489" t="s">
        <v>847</v>
      </c>
      <c r="B489" t="s">
        <v>5</v>
      </c>
      <c r="C489">
        <v>69</v>
      </c>
      <c r="D489" t="s">
        <v>6</v>
      </c>
      <c r="E489" s="32">
        <v>45210</v>
      </c>
      <c r="F489">
        <v>36</v>
      </c>
      <c r="G489">
        <v>4.5</v>
      </c>
      <c r="H489">
        <v>2024</v>
      </c>
      <c r="I489" t="s">
        <v>1068</v>
      </c>
      <c r="J489" t="s">
        <v>1087</v>
      </c>
      <c r="K489">
        <v>5</v>
      </c>
      <c r="L489" t="s">
        <v>1058</v>
      </c>
      <c r="M489">
        <v>10</v>
      </c>
    </row>
    <row r="490" spans="1:13" x14ac:dyDescent="0.3">
      <c r="A490" t="s">
        <v>850</v>
      </c>
      <c r="B490" t="s">
        <v>5</v>
      </c>
      <c r="C490">
        <v>120</v>
      </c>
      <c r="D490" t="s">
        <v>10</v>
      </c>
      <c r="E490" s="32">
        <v>45211</v>
      </c>
      <c r="F490">
        <v>195</v>
      </c>
      <c r="G490">
        <v>4.3</v>
      </c>
      <c r="H490">
        <v>2024</v>
      </c>
      <c r="I490" t="s">
        <v>1066</v>
      </c>
      <c r="J490" t="s">
        <v>1087</v>
      </c>
      <c r="K490">
        <v>4</v>
      </c>
      <c r="L490" t="s">
        <v>1058</v>
      </c>
      <c r="M490">
        <v>10</v>
      </c>
    </row>
    <row r="491" spans="1:13" x14ac:dyDescent="0.3">
      <c r="A491" t="s">
        <v>852</v>
      </c>
      <c r="B491" t="s">
        <v>18</v>
      </c>
      <c r="C491">
        <v>124</v>
      </c>
      <c r="D491" t="s">
        <v>6</v>
      </c>
      <c r="E491" s="32">
        <v>45213</v>
      </c>
      <c r="F491">
        <v>29</v>
      </c>
      <c r="G491">
        <v>4.8</v>
      </c>
      <c r="H491">
        <v>2024</v>
      </c>
      <c r="I491" t="s">
        <v>1064</v>
      </c>
      <c r="J491" t="s">
        <v>1089</v>
      </c>
      <c r="K491">
        <v>5</v>
      </c>
      <c r="L491" t="s">
        <v>1058</v>
      </c>
      <c r="M491">
        <v>10</v>
      </c>
    </row>
    <row r="492" spans="1:13" x14ac:dyDescent="0.3">
      <c r="A492" t="s">
        <v>856</v>
      </c>
      <c r="B492" t="s">
        <v>15</v>
      </c>
      <c r="C492">
        <v>125</v>
      </c>
      <c r="D492" t="s">
        <v>11</v>
      </c>
      <c r="E492" s="32">
        <v>45213</v>
      </c>
      <c r="F492">
        <v>82</v>
      </c>
      <c r="G492">
        <v>4.5999999999999996</v>
      </c>
      <c r="H492">
        <v>2024</v>
      </c>
      <c r="I492" t="s">
        <v>1064</v>
      </c>
      <c r="J492" t="s">
        <v>1089</v>
      </c>
      <c r="K492">
        <v>5</v>
      </c>
      <c r="L492" t="s">
        <v>1058</v>
      </c>
      <c r="M492">
        <v>10</v>
      </c>
    </row>
    <row r="493" spans="1:13" x14ac:dyDescent="0.3">
      <c r="A493" t="s">
        <v>858</v>
      </c>
      <c r="B493" t="s">
        <v>8</v>
      </c>
      <c r="C493">
        <v>131</v>
      </c>
      <c r="D493" t="s">
        <v>6</v>
      </c>
      <c r="E493" s="32">
        <v>45214</v>
      </c>
      <c r="F493">
        <v>205</v>
      </c>
      <c r="G493">
        <v>4.8</v>
      </c>
      <c r="H493">
        <v>2024</v>
      </c>
      <c r="I493" t="s">
        <v>1065</v>
      </c>
      <c r="J493" t="s">
        <v>1089</v>
      </c>
      <c r="K493">
        <v>5</v>
      </c>
      <c r="L493" t="s">
        <v>1058</v>
      </c>
      <c r="M493">
        <v>10</v>
      </c>
    </row>
    <row r="494" spans="1:13" x14ac:dyDescent="0.3">
      <c r="A494" t="s">
        <v>860</v>
      </c>
      <c r="B494" t="s">
        <v>8</v>
      </c>
      <c r="C494">
        <v>70</v>
      </c>
      <c r="D494" t="s">
        <v>6</v>
      </c>
      <c r="E494" s="32">
        <v>45214</v>
      </c>
      <c r="F494">
        <v>50</v>
      </c>
      <c r="G494">
        <v>3.4</v>
      </c>
      <c r="H494">
        <v>2024</v>
      </c>
      <c r="I494" t="s">
        <v>1065</v>
      </c>
      <c r="J494" t="s">
        <v>1087</v>
      </c>
      <c r="K494">
        <v>3</v>
      </c>
      <c r="L494" t="s">
        <v>1058</v>
      </c>
      <c r="M494">
        <v>10</v>
      </c>
    </row>
    <row r="495" spans="1:13" x14ac:dyDescent="0.3">
      <c r="A495" t="s">
        <v>861</v>
      </c>
      <c r="B495" t="s">
        <v>8</v>
      </c>
      <c r="C495">
        <v>55</v>
      </c>
      <c r="D495" t="s">
        <v>11</v>
      </c>
      <c r="E495" s="32">
        <v>45214</v>
      </c>
      <c r="F495">
        <v>80</v>
      </c>
      <c r="G495">
        <v>4.3</v>
      </c>
      <c r="H495">
        <v>2024</v>
      </c>
      <c r="I495" t="s">
        <v>1065</v>
      </c>
      <c r="J495" t="s">
        <v>1088</v>
      </c>
      <c r="K495">
        <v>4</v>
      </c>
      <c r="L495" t="s">
        <v>1058</v>
      </c>
      <c r="M495">
        <v>10</v>
      </c>
    </row>
    <row r="496" spans="1:13" x14ac:dyDescent="0.3">
      <c r="A496" t="s">
        <v>862</v>
      </c>
      <c r="B496" t="s">
        <v>15</v>
      </c>
      <c r="C496">
        <v>77</v>
      </c>
      <c r="D496" t="s">
        <v>9</v>
      </c>
      <c r="E496" s="32">
        <v>45214</v>
      </c>
      <c r="F496">
        <v>78</v>
      </c>
      <c r="G496">
        <v>3.9</v>
      </c>
      <c r="H496">
        <v>2024</v>
      </c>
      <c r="I496" t="s">
        <v>1065</v>
      </c>
      <c r="J496" t="s">
        <v>1087</v>
      </c>
      <c r="K496">
        <v>4</v>
      </c>
      <c r="L496" t="s">
        <v>1058</v>
      </c>
      <c r="M496">
        <v>10</v>
      </c>
    </row>
    <row r="497" spans="1:13" x14ac:dyDescent="0.3">
      <c r="A497" t="s">
        <v>863</v>
      </c>
      <c r="B497" t="s">
        <v>21</v>
      </c>
      <c r="C497">
        <v>133</v>
      </c>
      <c r="D497" t="s">
        <v>6</v>
      </c>
      <c r="E497" s="32">
        <v>45215</v>
      </c>
      <c r="F497">
        <v>40</v>
      </c>
      <c r="G497">
        <v>3.9</v>
      </c>
      <c r="H497">
        <v>2024</v>
      </c>
      <c r="I497" t="s">
        <v>1063</v>
      </c>
      <c r="J497" t="s">
        <v>1089</v>
      </c>
      <c r="K497">
        <v>4</v>
      </c>
      <c r="L497" t="s">
        <v>1058</v>
      </c>
      <c r="M497">
        <v>10</v>
      </c>
    </row>
    <row r="498" spans="1:13" x14ac:dyDescent="0.3">
      <c r="A498" t="s">
        <v>864</v>
      </c>
      <c r="B498" t="s">
        <v>15</v>
      </c>
      <c r="C498">
        <v>77</v>
      </c>
      <c r="D498" t="s">
        <v>9</v>
      </c>
      <c r="E498" s="32">
        <v>45215</v>
      </c>
      <c r="F498">
        <v>176</v>
      </c>
      <c r="G498">
        <v>1.5</v>
      </c>
      <c r="H498">
        <v>2024</v>
      </c>
      <c r="I498" t="s">
        <v>1063</v>
      </c>
      <c r="J498" t="s">
        <v>1087</v>
      </c>
      <c r="K498">
        <v>2</v>
      </c>
      <c r="L498" t="s">
        <v>1058</v>
      </c>
      <c r="M498">
        <v>10</v>
      </c>
    </row>
    <row r="499" spans="1:13" x14ac:dyDescent="0.3">
      <c r="A499" t="s">
        <v>865</v>
      </c>
      <c r="B499" t="s">
        <v>19</v>
      </c>
      <c r="C499">
        <v>103</v>
      </c>
      <c r="D499" t="s">
        <v>6</v>
      </c>
      <c r="E499" s="32">
        <v>45215</v>
      </c>
      <c r="F499">
        <v>78</v>
      </c>
      <c r="G499">
        <v>3</v>
      </c>
      <c r="H499">
        <v>2024</v>
      </c>
      <c r="I499" t="s">
        <v>1063</v>
      </c>
      <c r="J499" t="s">
        <v>1087</v>
      </c>
      <c r="K499">
        <v>3</v>
      </c>
      <c r="L499" t="s">
        <v>1058</v>
      </c>
      <c r="M499">
        <v>10</v>
      </c>
    </row>
    <row r="500" spans="1:13" x14ac:dyDescent="0.3">
      <c r="A500" t="s">
        <v>866</v>
      </c>
      <c r="B500" t="s">
        <v>5</v>
      </c>
      <c r="C500">
        <v>32</v>
      </c>
      <c r="D500" t="s">
        <v>9</v>
      </c>
      <c r="E500" s="32">
        <v>45215</v>
      </c>
      <c r="F500">
        <v>42</v>
      </c>
      <c r="G500">
        <v>4.2</v>
      </c>
      <c r="H500">
        <v>2024</v>
      </c>
      <c r="I500" t="s">
        <v>1063</v>
      </c>
      <c r="J500" t="s">
        <v>1088</v>
      </c>
      <c r="K500">
        <v>4</v>
      </c>
      <c r="L500" t="s">
        <v>1058</v>
      </c>
      <c r="M500">
        <v>10</v>
      </c>
    </row>
    <row r="501" spans="1:13" x14ac:dyDescent="0.3">
      <c r="A501" t="s">
        <v>867</v>
      </c>
      <c r="B501" t="s">
        <v>21</v>
      </c>
      <c r="C501">
        <v>30</v>
      </c>
      <c r="D501" t="s">
        <v>6</v>
      </c>
      <c r="E501" s="32">
        <v>45215</v>
      </c>
      <c r="F501">
        <v>38</v>
      </c>
      <c r="G501">
        <v>3.7</v>
      </c>
      <c r="H501">
        <v>2024</v>
      </c>
      <c r="I501" t="s">
        <v>1063</v>
      </c>
      <c r="J501" t="s">
        <v>1091</v>
      </c>
      <c r="K501">
        <v>4</v>
      </c>
      <c r="L501" t="s">
        <v>1058</v>
      </c>
      <c r="M501">
        <v>10</v>
      </c>
    </row>
    <row r="502" spans="1:13" x14ac:dyDescent="0.3">
      <c r="A502" t="s">
        <v>869</v>
      </c>
      <c r="B502" t="s">
        <v>15</v>
      </c>
      <c r="C502">
        <v>137</v>
      </c>
      <c r="D502" t="s">
        <v>10</v>
      </c>
      <c r="E502" s="32">
        <v>45216</v>
      </c>
      <c r="F502">
        <v>45</v>
      </c>
      <c r="G502">
        <v>4.4000000000000004</v>
      </c>
      <c r="H502">
        <v>2024</v>
      </c>
      <c r="I502" t="s">
        <v>1067</v>
      </c>
      <c r="J502" t="s">
        <v>1089</v>
      </c>
      <c r="K502">
        <v>4</v>
      </c>
      <c r="L502" t="s">
        <v>1058</v>
      </c>
      <c r="M502">
        <v>10</v>
      </c>
    </row>
    <row r="503" spans="1:13" x14ac:dyDescent="0.3">
      <c r="A503" t="s">
        <v>870</v>
      </c>
      <c r="B503" t="s">
        <v>14</v>
      </c>
      <c r="C503">
        <v>96</v>
      </c>
      <c r="D503" t="s">
        <v>6</v>
      </c>
      <c r="E503" s="32">
        <v>45216</v>
      </c>
      <c r="F503">
        <v>215</v>
      </c>
      <c r="G503">
        <v>4</v>
      </c>
      <c r="H503">
        <v>2024</v>
      </c>
      <c r="I503" t="s">
        <v>1067</v>
      </c>
      <c r="J503" t="s">
        <v>1087</v>
      </c>
      <c r="K503">
        <v>4</v>
      </c>
      <c r="L503" t="s">
        <v>1058</v>
      </c>
      <c r="M503">
        <v>10</v>
      </c>
    </row>
    <row r="504" spans="1:13" x14ac:dyDescent="0.3">
      <c r="A504" t="s">
        <v>871</v>
      </c>
      <c r="B504" t="s">
        <v>18</v>
      </c>
      <c r="C504">
        <v>155</v>
      </c>
      <c r="D504" t="s">
        <v>6</v>
      </c>
      <c r="E504" s="32">
        <v>45217</v>
      </c>
      <c r="F504">
        <v>72</v>
      </c>
      <c r="G504">
        <v>4.7</v>
      </c>
      <c r="H504">
        <v>2024</v>
      </c>
      <c r="I504" t="s">
        <v>1068</v>
      </c>
      <c r="J504" t="s">
        <v>1089</v>
      </c>
      <c r="K504">
        <v>5</v>
      </c>
      <c r="L504" t="s">
        <v>1058</v>
      </c>
      <c r="M504">
        <v>10</v>
      </c>
    </row>
    <row r="505" spans="1:13" x14ac:dyDescent="0.3">
      <c r="A505" t="s">
        <v>872</v>
      </c>
      <c r="B505" t="s">
        <v>21</v>
      </c>
      <c r="C505">
        <v>173</v>
      </c>
      <c r="D505" t="s">
        <v>11</v>
      </c>
      <c r="E505" s="32">
        <v>45217</v>
      </c>
      <c r="F505">
        <v>160</v>
      </c>
      <c r="G505">
        <v>2.8</v>
      </c>
      <c r="H505">
        <v>2024</v>
      </c>
      <c r="I505" t="s">
        <v>1068</v>
      </c>
      <c r="J505" t="s">
        <v>1089</v>
      </c>
      <c r="K505">
        <v>3</v>
      </c>
      <c r="L505" t="s">
        <v>1058</v>
      </c>
      <c r="M505">
        <v>10</v>
      </c>
    </row>
    <row r="506" spans="1:13" x14ac:dyDescent="0.3">
      <c r="A506" t="s">
        <v>873</v>
      </c>
      <c r="B506" t="s">
        <v>18</v>
      </c>
      <c r="C506">
        <v>127</v>
      </c>
      <c r="D506" t="s">
        <v>6</v>
      </c>
      <c r="E506" s="32">
        <v>45217</v>
      </c>
      <c r="F506">
        <v>165</v>
      </c>
      <c r="G506">
        <v>2.5</v>
      </c>
      <c r="H506">
        <v>2024</v>
      </c>
      <c r="I506" t="s">
        <v>1068</v>
      </c>
      <c r="J506" t="s">
        <v>1089</v>
      </c>
      <c r="K506">
        <v>3</v>
      </c>
      <c r="L506" t="s">
        <v>1058</v>
      </c>
      <c r="M506">
        <v>10</v>
      </c>
    </row>
    <row r="507" spans="1:13" x14ac:dyDescent="0.3">
      <c r="A507" t="s">
        <v>878</v>
      </c>
      <c r="B507" t="s">
        <v>19</v>
      </c>
      <c r="C507">
        <v>43</v>
      </c>
      <c r="D507" t="s">
        <v>9</v>
      </c>
      <c r="E507" s="32">
        <v>45218</v>
      </c>
      <c r="F507">
        <v>84</v>
      </c>
      <c r="G507">
        <v>3.6</v>
      </c>
      <c r="H507">
        <v>2024</v>
      </c>
      <c r="I507" t="s">
        <v>1066</v>
      </c>
      <c r="J507" t="s">
        <v>1088</v>
      </c>
      <c r="K507">
        <v>4</v>
      </c>
      <c r="L507" t="s">
        <v>1058</v>
      </c>
      <c r="M507">
        <v>10</v>
      </c>
    </row>
    <row r="508" spans="1:13" x14ac:dyDescent="0.3">
      <c r="A508" t="s">
        <v>879</v>
      </c>
      <c r="B508" t="s">
        <v>14</v>
      </c>
      <c r="C508">
        <v>124</v>
      </c>
      <c r="D508" t="s">
        <v>6</v>
      </c>
      <c r="E508" s="32">
        <v>45218</v>
      </c>
      <c r="F508">
        <v>42</v>
      </c>
      <c r="G508">
        <v>3.7</v>
      </c>
      <c r="H508">
        <v>2024</v>
      </c>
      <c r="I508" t="s">
        <v>1066</v>
      </c>
      <c r="J508" t="s">
        <v>1089</v>
      </c>
      <c r="K508">
        <v>4</v>
      </c>
      <c r="L508" t="s">
        <v>1058</v>
      </c>
      <c r="M508">
        <v>10</v>
      </c>
    </row>
    <row r="509" spans="1:13" x14ac:dyDescent="0.3">
      <c r="A509" t="s">
        <v>880</v>
      </c>
      <c r="B509" t="s">
        <v>21</v>
      </c>
      <c r="C509">
        <v>94</v>
      </c>
      <c r="D509" t="s">
        <v>6</v>
      </c>
      <c r="E509" s="32">
        <v>45218</v>
      </c>
      <c r="F509">
        <v>120</v>
      </c>
      <c r="G509">
        <v>3.5</v>
      </c>
      <c r="H509">
        <v>2024</v>
      </c>
      <c r="I509" t="s">
        <v>1066</v>
      </c>
      <c r="J509" t="s">
        <v>1087</v>
      </c>
      <c r="K509">
        <v>4</v>
      </c>
      <c r="L509" t="s">
        <v>1058</v>
      </c>
      <c r="M509">
        <v>10</v>
      </c>
    </row>
    <row r="510" spans="1:13" x14ac:dyDescent="0.3">
      <c r="A510" t="s">
        <v>881</v>
      </c>
      <c r="B510" t="s">
        <v>19</v>
      </c>
      <c r="C510">
        <v>126</v>
      </c>
      <c r="D510" t="s">
        <v>13</v>
      </c>
      <c r="E510" s="32">
        <v>45219</v>
      </c>
      <c r="F510">
        <v>80</v>
      </c>
      <c r="G510">
        <v>4.7</v>
      </c>
      <c r="H510">
        <v>2024</v>
      </c>
      <c r="I510" t="s">
        <v>1062</v>
      </c>
      <c r="J510" t="s">
        <v>1089</v>
      </c>
      <c r="K510">
        <v>5</v>
      </c>
      <c r="L510" t="s">
        <v>1058</v>
      </c>
      <c r="M510">
        <v>10</v>
      </c>
    </row>
    <row r="511" spans="1:13" x14ac:dyDescent="0.3">
      <c r="A511" t="s">
        <v>883</v>
      </c>
      <c r="B511" t="s">
        <v>8</v>
      </c>
      <c r="C511">
        <v>60</v>
      </c>
      <c r="D511" t="s">
        <v>10</v>
      </c>
      <c r="E511" s="32">
        <v>45220</v>
      </c>
      <c r="F511">
        <v>135</v>
      </c>
      <c r="G511">
        <v>3.9</v>
      </c>
      <c r="H511">
        <v>2024</v>
      </c>
      <c r="I511" t="s">
        <v>1064</v>
      </c>
      <c r="J511" t="s">
        <v>1088</v>
      </c>
      <c r="K511">
        <v>4</v>
      </c>
      <c r="L511" t="s">
        <v>1058</v>
      </c>
      <c r="M511">
        <v>10</v>
      </c>
    </row>
    <row r="512" spans="1:13" x14ac:dyDescent="0.3">
      <c r="A512" t="s">
        <v>884</v>
      </c>
      <c r="B512" t="s">
        <v>8</v>
      </c>
      <c r="C512">
        <v>72</v>
      </c>
      <c r="D512" t="s">
        <v>11</v>
      </c>
      <c r="E512" s="32">
        <v>45220</v>
      </c>
      <c r="F512">
        <v>20</v>
      </c>
      <c r="G512">
        <v>4.8</v>
      </c>
      <c r="H512">
        <v>2024</v>
      </c>
      <c r="I512" t="s">
        <v>1064</v>
      </c>
      <c r="J512" t="s">
        <v>1087</v>
      </c>
      <c r="K512">
        <v>5</v>
      </c>
      <c r="L512" t="s">
        <v>1058</v>
      </c>
      <c r="M512">
        <v>10</v>
      </c>
    </row>
    <row r="513" spans="1:13" x14ac:dyDescent="0.3">
      <c r="A513" t="s">
        <v>885</v>
      </c>
      <c r="B513" t="s">
        <v>16</v>
      </c>
      <c r="C513">
        <v>40</v>
      </c>
      <c r="D513" t="s">
        <v>11</v>
      </c>
      <c r="E513" s="32">
        <v>45220</v>
      </c>
      <c r="F513">
        <v>31</v>
      </c>
      <c r="G513">
        <v>4</v>
      </c>
      <c r="H513">
        <v>2024</v>
      </c>
      <c r="I513" t="s">
        <v>1064</v>
      </c>
      <c r="J513" t="s">
        <v>1088</v>
      </c>
      <c r="K513">
        <v>4</v>
      </c>
      <c r="L513" t="s">
        <v>1058</v>
      </c>
      <c r="M513">
        <v>10</v>
      </c>
    </row>
    <row r="514" spans="1:13" x14ac:dyDescent="0.3">
      <c r="A514" t="s">
        <v>886</v>
      </c>
      <c r="B514" t="s">
        <v>5</v>
      </c>
      <c r="C514">
        <v>54</v>
      </c>
      <c r="D514" t="s">
        <v>13</v>
      </c>
      <c r="E514" s="32">
        <v>45221</v>
      </c>
      <c r="F514">
        <v>120</v>
      </c>
      <c r="G514">
        <v>4.7</v>
      </c>
      <c r="H514">
        <v>2024</v>
      </c>
      <c r="I514" t="s">
        <v>1065</v>
      </c>
      <c r="J514" t="s">
        <v>1088</v>
      </c>
      <c r="K514">
        <v>5</v>
      </c>
      <c r="L514" t="s">
        <v>1058</v>
      </c>
      <c r="M514">
        <v>10</v>
      </c>
    </row>
    <row r="515" spans="1:13" x14ac:dyDescent="0.3">
      <c r="A515" t="s">
        <v>888</v>
      </c>
      <c r="B515" t="s">
        <v>5</v>
      </c>
      <c r="C515">
        <v>76</v>
      </c>
      <c r="D515" t="s">
        <v>6</v>
      </c>
      <c r="E515" s="32">
        <v>45221</v>
      </c>
      <c r="F515">
        <v>80</v>
      </c>
      <c r="G515">
        <v>4.5</v>
      </c>
      <c r="H515">
        <v>2024</v>
      </c>
      <c r="I515" t="s">
        <v>1065</v>
      </c>
      <c r="J515" t="s">
        <v>1087</v>
      </c>
      <c r="K515">
        <v>5</v>
      </c>
      <c r="L515" t="s">
        <v>1058</v>
      </c>
      <c r="M515">
        <v>10</v>
      </c>
    </row>
    <row r="516" spans="1:13" x14ac:dyDescent="0.3">
      <c r="A516" t="s">
        <v>889</v>
      </c>
      <c r="B516" t="s">
        <v>5</v>
      </c>
      <c r="C516">
        <v>37</v>
      </c>
      <c r="D516" t="s">
        <v>10</v>
      </c>
      <c r="E516" s="32">
        <v>45222</v>
      </c>
      <c r="F516">
        <v>117</v>
      </c>
      <c r="G516">
        <v>4</v>
      </c>
      <c r="H516">
        <v>2024</v>
      </c>
      <c r="I516" t="s">
        <v>1063</v>
      </c>
      <c r="J516" t="s">
        <v>1088</v>
      </c>
      <c r="K516">
        <v>4</v>
      </c>
      <c r="L516" t="s">
        <v>1058</v>
      </c>
      <c r="M516">
        <v>10</v>
      </c>
    </row>
    <row r="517" spans="1:13" x14ac:dyDescent="0.3">
      <c r="A517" t="s">
        <v>891</v>
      </c>
      <c r="B517" t="s">
        <v>8</v>
      </c>
      <c r="C517">
        <v>19</v>
      </c>
      <c r="D517" t="s">
        <v>6</v>
      </c>
      <c r="E517" s="32">
        <v>45223</v>
      </c>
      <c r="F517">
        <v>58</v>
      </c>
      <c r="G517">
        <v>3.9</v>
      </c>
      <c r="H517">
        <v>2024</v>
      </c>
      <c r="I517" t="s">
        <v>1067</v>
      </c>
      <c r="J517" t="s">
        <v>1091</v>
      </c>
      <c r="K517">
        <v>4</v>
      </c>
      <c r="L517" t="s">
        <v>1058</v>
      </c>
      <c r="M517">
        <v>10</v>
      </c>
    </row>
    <row r="518" spans="1:13" x14ac:dyDescent="0.3">
      <c r="A518" t="s">
        <v>892</v>
      </c>
      <c r="B518" t="s">
        <v>16</v>
      </c>
      <c r="C518">
        <v>72</v>
      </c>
      <c r="D518" t="s">
        <v>10</v>
      </c>
      <c r="E518" s="32">
        <v>45223</v>
      </c>
      <c r="F518">
        <v>41</v>
      </c>
      <c r="G518">
        <v>4.3</v>
      </c>
      <c r="H518">
        <v>2024</v>
      </c>
      <c r="I518" t="s">
        <v>1067</v>
      </c>
      <c r="J518" t="s">
        <v>1087</v>
      </c>
      <c r="K518">
        <v>4</v>
      </c>
      <c r="L518" t="s">
        <v>1058</v>
      </c>
      <c r="M518">
        <v>10</v>
      </c>
    </row>
    <row r="519" spans="1:13" x14ac:dyDescent="0.3">
      <c r="A519" t="s">
        <v>893</v>
      </c>
      <c r="B519" t="s">
        <v>21</v>
      </c>
      <c r="C519">
        <v>73</v>
      </c>
      <c r="D519" t="s">
        <v>9</v>
      </c>
      <c r="E519" s="32">
        <v>45223</v>
      </c>
      <c r="F519">
        <v>180</v>
      </c>
      <c r="G519">
        <v>3.6</v>
      </c>
      <c r="H519">
        <v>2024</v>
      </c>
      <c r="I519" t="s">
        <v>1067</v>
      </c>
      <c r="J519" t="s">
        <v>1087</v>
      </c>
      <c r="K519">
        <v>4</v>
      </c>
      <c r="L519" t="s">
        <v>1058</v>
      </c>
      <c r="M519">
        <v>10</v>
      </c>
    </row>
    <row r="520" spans="1:13" x14ac:dyDescent="0.3">
      <c r="A520" t="s">
        <v>896</v>
      </c>
      <c r="B520" t="s">
        <v>16</v>
      </c>
      <c r="C520">
        <v>101</v>
      </c>
      <c r="D520" t="s">
        <v>9</v>
      </c>
      <c r="E520" s="32">
        <v>45224</v>
      </c>
      <c r="F520">
        <v>125</v>
      </c>
      <c r="G520">
        <v>4.2</v>
      </c>
      <c r="H520">
        <v>2024</v>
      </c>
      <c r="I520" t="s">
        <v>1068</v>
      </c>
      <c r="J520" t="s">
        <v>1087</v>
      </c>
      <c r="K520">
        <v>4</v>
      </c>
      <c r="L520" t="s">
        <v>1058</v>
      </c>
      <c r="M520">
        <v>10</v>
      </c>
    </row>
    <row r="521" spans="1:13" x14ac:dyDescent="0.3">
      <c r="A521" t="s">
        <v>897</v>
      </c>
      <c r="B521" t="s">
        <v>16</v>
      </c>
      <c r="C521">
        <v>107</v>
      </c>
      <c r="D521" t="s">
        <v>10</v>
      </c>
      <c r="E521" s="32">
        <v>45225</v>
      </c>
      <c r="F521">
        <v>78</v>
      </c>
      <c r="G521">
        <v>4.3</v>
      </c>
      <c r="H521">
        <v>2024</v>
      </c>
      <c r="I521" t="s">
        <v>1066</v>
      </c>
      <c r="J521" t="s">
        <v>1087</v>
      </c>
      <c r="K521">
        <v>4</v>
      </c>
      <c r="L521" t="s">
        <v>1058</v>
      </c>
      <c r="M521">
        <v>10</v>
      </c>
    </row>
    <row r="522" spans="1:13" x14ac:dyDescent="0.3">
      <c r="A522" t="s">
        <v>898</v>
      </c>
      <c r="B522" t="s">
        <v>22</v>
      </c>
      <c r="C522">
        <v>109</v>
      </c>
      <c r="D522" t="s">
        <v>11</v>
      </c>
      <c r="E522" s="32">
        <v>45225</v>
      </c>
      <c r="F522">
        <v>180</v>
      </c>
      <c r="G522">
        <v>3.8</v>
      </c>
      <c r="H522">
        <v>2024</v>
      </c>
      <c r="I522" t="s">
        <v>1066</v>
      </c>
      <c r="J522" t="s">
        <v>1087</v>
      </c>
      <c r="K522">
        <v>4</v>
      </c>
      <c r="L522" t="s">
        <v>1058</v>
      </c>
      <c r="M522">
        <v>10</v>
      </c>
    </row>
    <row r="523" spans="1:13" x14ac:dyDescent="0.3">
      <c r="A523" t="s">
        <v>899</v>
      </c>
      <c r="B523" t="s">
        <v>14</v>
      </c>
      <c r="C523">
        <v>171</v>
      </c>
      <c r="D523" t="s">
        <v>10</v>
      </c>
      <c r="E523" s="32">
        <v>45225</v>
      </c>
      <c r="F523">
        <v>84</v>
      </c>
      <c r="G523">
        <v>4.4000000000000004</v>
      </c>
      <c r="H523">
        <v>2024</v>
      </c>
      <c r="I523" t="s">
        <v>1066</v>
      </c>
      <c r="J523" t="s">
        <v>1089</v>
      </c>
      <c r="K523">
        <v>4</v>
      </c>
      <c r="L523" t="s">
        <v>1058</v>
      </c>
      <c r="M523">
        <v>10</v>
      </c>
    </row>
    <row r="524" spans="1:13" x14ac:dyDescent="0.3">
      <c r="A524" t="s">
        <v>900</v>
      </c>
      <c r="B524" t="s">
        <v>8</v>
      </c>
      <c r="C524">
        <v>21</v>
      </c>
      <c r="D524" t="s">
        <v>10</v>
      </c>
      <c r="E524" s="32">
        <v>45225</v>
      </c>
      <c r="F524">
        <v>26</v>
      </c>
      <c r="G524">
        <v>4.7</v>
      </c>
      <c r="H524">
        <v>2024</v>
      </c>
      <c r="I524" t="s">
        <v>1066</v>
      </c>
      <c r="J524" t="s">
        <v>1091</v>
      </c>
      <c r="K524">
        <v>5</v>
      </c>
      <c r="L524" t="s">
        <v>1058</v>
      </c>
      <c r="M524">
        <v>10</v>
      </c>
    </row>
    <row r="525" spans="1:13" x14ac:dyDescent="0.3">
      <c r="A525" t="s">
        <v>902</v>
      </c>
      <c r="B525" t="s">
        <v>21</v>
      </c>
      <c r="C525">
        <v>97</v>
      </c>
      <c r="D525" t="s">
        <v>11</v>
      </c>
      <c r="E525" s="32">
        <v>45226</v>
      </c>
      <c r="F525">
        <v>31</v>
      </c>
      <c r="G525">
        <v>2.2000000000000002</v>
      </c>
      <c r="H525">
        <v>2024</v>
      </c>
      <c r="I525" t="s">
        <v>1062</v>
      </c>
      <c r="J525" t="s">
        <v>1087</v>
      </c>
      <c r="K525">
        <v>2</v>
      </c>
      <c r="L525" t="s">
        <v>1058</v>
      </c>
      <c r="M525">
        <v>10</v>
      </c>
    </row>
    <row r="526" spans="1:13" x14ac:dyDescent="0.3">
      <c r="A526" t="s">
        <v>904</v>
      </c>
      <c r="B526" t="s">
        <v>14</v>
      </c>
      <c r="C526">
        <v>143</v>
      </c>
      <c r="D526" t="s">
        <v>13</v>
      </c>
      <c r="E526" s="32">
        <v>45227</v>
      </c>
      <c r="F526">
        <v>58</v>
      </c>
      <c r="G526">
        <v>4.3</v>
      </c>
      <c r="H526">
        <v>2024</v>
      </c>
      <c r="I526" t="s">
        <v>1064</v>
      </c>
      <c r="J526" t="s">
        <v>1089</v>
      </c>
      <c r="K526">
        <v>4</v>
      </c>
      <c r="L526" t="s">
        <v>1058</v>
      </c>
      <c r="M526">
        <v>10</v>
      </c>
    </row>
    <row r="527" spans="1:13" x14ac:dyDescent="0.3">
      <c r="A527" t="s">
        <v>905</v>
      </c>
      <c r="B527" t="s">
        <v>14</v>
      </c>
      <c r="C527">
        <v>64</v>
      </c>
      <c r="D527" t="s">
        <v>11</v>
      </c>
      <c r="E527" s="32">
        <v>45227</v>
      </c>
      <c r="F527">
        <v>185</v>
      </c>
      <c r="G527">
        <v>2.2000000000000002</v>
      </c>
      <c r="H527">
        <v>2024</v>
      </c>
      <c r="I527" t="s">
        <v>1064</v>
      </c>
      <c r="J527" t="s">
        <v>1087</v>
      </c>
      <c r="K527">
        <v>2</v>
      </c>
      <c r="L527" t="s">
        <v>1058</v>
      </c>
      <c r="M527">
        <v>10</v>
      </c>
    </row>
    <row r="528" spans="1:13" x14ac:dyDescent="0.3">
      <c r="A528" t="s">
        <v>906</v>
      </c>
      <c r="B528" t="s">
        <v>14</v>
      </c>
      <c r="C528">
        <v>69</v>
      </c>
      <c r="D528" t="s">
        <v>11</v>
      </c>
      <c r="E528" s="32">
        <v>45227</v>
      </c>
      <c r="F528">
        <v>40</v>
      </c>
      <c r="G528">
        <v>4.8</v>
      </c>
      <c r="H528">
        <v>2024</v>
      </c>
      <c r="I528" t="s">
        <v>1064</v>
      </c>
      <c r="J528" t="s">
        <v>1087</v>
      </c>
      <c r="K528">
        <v>5</v>
      </c>
      <c r="L528" t="s">
        <v>1058</v>
      </c>
      <c r="M528">
        <v>10</v>
      </c>
    </row>
    <row r="529" spans="1:13" x14ac:dyDescent="0.3">
      <c r="A529" t="s">
        <v>907</v>
      </c>
      <c r="B529" t="s">
        <v>14</v>
      </c>
      <c r="C529">
        <v>18</v>
      </c>
      <c r="D529" t="s">
        <v>6</v>
      </c>
      <c r="E529" s="32">
        <v>45227</v>
      </c>
      <c r="F529">
        <v>225</v>
      </c>
      <c r="G529">
        <v>2.6</v>
      </c>
      <c r="H529">
        <v>2024</v>
      </c>
      <c r="I529" t="s">
        <v>1064</v>
      </c>
      <c r="J529" t="s">
        <v>1091</v>
      </c>
      <c r="K529">
        <v>3</v>
      </c>
      <c r="L529" t="s">
        <v>1058</v>
      </c>
      <c r="M529">
        <v>10</v>
      </c>
    </row>
    <row r="530" spans="1:13" x14ac:dyDescent="0.3">
      <c r="A530" t="s">
        <v>908</v>
      </c>
      <c r="B530" t="s">
        <v>21</v>
      </c>
      <c r="C530">
        <v>100</v>
      </c>
      <c r="D530" t="s">
        <v>13</v>
      </c>
      <c r="E530" s="32">
        <v>45227</v>
      </c>
      <c r="F530">
        <v>150</v>
      </c>
      <c r="G530">
        <v>2.6</v>
      </c>
      <c r="H530">
        <v>2024</v>
      </c>
      <c r="I530" t="s">
        <v>1064</v>
      </c>
      <c r="J530" t="s">
        <v>1087</v>
      </c>
      <c r="K530">
        <v>3</v>
      </c>
      <c r="L530" t="s">
        <v>1058</v>
      </c>
      <c r="M530">
        <v>10</v>
      </c>
    </row>
    <row r="531" spans="1:13" x14ac:dyDescent="0.3">
      <c r="A531" t="s">
        <v>909</v>
      </c>
      <c r="B531" t="s">
        <v>18</v>
      </c>
      <c r="C531">
        <v>110</v>
      </c>
      <c r="D531" t="s">
        <v>9</v>
      </c>
      <c r="E531" s="32">
        <v>45228</v>
      </c>
      <c r="F531">
        <v>88</v>
      </c>
      <c r="G531">
        <v>3.4</v>
      </c>
      <c r="H531">
        <v>2024</v>
      </c>
      <c r="I531" t="s">
        <v>1065</v>
      </c>
      <c r="J531" t="s">
        <v>1087</v>
      </c>
      <c r="K531">
        <v>3</v>
      </c>
      <c r="L531" t="s">
        <v>1058</v>
      </c>
      <c r="M531">
        <v>10</v>
      </c>
    </row>
    <row r="532" spans="1:13" x14ac:dyDescent="0.3">
      <c r="A532" t="s">
        <v>911</v>
      </c>
      <c r="B532" t="s">
        <v>18</v>
      </c>
      <c r="C532">
        <v>147</v>
      </c>
      <c r="D532" t="s">
        <v>9</v>
      </c>
      <c r="E532" s="32">
        <v>45228</v>
      </c>
      <c r="F532">
        <v>68</v>
      </c>
      <c r="G532">
        <v>2.1</v>
      </c>
      <c r="H532">
        <v>2024</v>
      </c>
      <c r="I532" t="s">
        <v>1065</v>
      </c>
      <c r="J532" t="s">
        <v>1089</v>
      </c>
      <c r="K532">
        <v>2</v>
      </c>
      <c r="L532" t="s">
        <v>1058</v>
      </c>
      <c r="M532">
        <v>10</v>
      </c>
    </row>
    <row r="533" spans="1:13" x14ac:dyDescent="0.3">
      <c r="A533" t="s">
        <v>914</v>
      </c>
      <c r="B533" t="s">
        <v>22</v>
      </c>
      <c r="C533">
        <v>61</v>
      </c>
      <c r="D533" t="s">
        <v>10</v>
      </c>
      <c r="E533" s="32">
        <v>45229</v>
      </c>
      <c r="F533">
        <v>82</v>
      </c>
      <c r="G533">
        <v>3.1</v>
      </c>
      <c r="H533">
        <v>2024</v>
      </c>
      <c r="I533" t="s">
        <v>1063</v>
      </c>
      <c r="J533" t="s">
        <v>1087</v>
      </c>
      <c r="K533">
        <v>3</v>
      </c>
      <c r="L533" t="s">
        <v>1058</v>
      </c>
      <c r="M533">
        <v>10</v>
      </c>
    </row>
    <row r="534" spans="1:13" x14ac:dyDescent="0.3">
      <c r="A534" t="s">
        <v>917</v>
      </c>
      <c r="B534" t="s">
        <v>5</v>
      </c>
      <c r="C534">
        <v>62</v>
      </c>
      <c r="D534" t="s">
        <v>9</v>
      </c>
      <c r="E534" s="32">
        <v>45231</v>
      </c>
      <c r="F534">
        <v>78</v>
      </c>
      <c r="G534">
        <v>3.5</v>
      </c>
      <c r="H534">
        <v>2024</v>
      </c>
      <c r="I534" t="s">
        <v>1068</v>
      </c>
      <c r="J534" t="s">
        <v>1087</v>
      </c>
      <c r="K534">
        <v>4</v>
      </c>
      <c r="L534" t="s">
        <v>1059</v>
      </c>
      <c r="M534">
        <v>11</v>
      </c>
    </row>
    <row r="535" spans="1:13" x14ac:dyDescent="0.3">
      <c r="A535" t="s">
        <v>918</v>
      </c>
      <c r="B535" t="s">
        <v>21</v>
      </c>
      <c r="C535">
        <v>103</v>
      </c>
      <c r="D535" t="s">
        <v>13</v>
      </c>
      <c r="E535" s="32">
        <v>45232</v>
      </c>
      <c r="F535">
        <v>66</v>
      </c>
      <c r="G535">
        <v>4.4000000000000004</v>
      </c>
      <c r="H535">
        <v>2024</v>
      </c>
      <c r="I535" t="s">
        <v>1066</v>
      </c>
      <c r="J535" t="s">
        <v>1087</v>
      </c>
      <c r="K535">
        <v>4</v>
      </c>
      <c r="L535" t="s">
        <v>1059</v>
      </c>
      <c r="M535">
        <v>11</v>
      </c>
    </row>
    <row r="536" spans="1:13" x14ac:dyDescent="0.3">
      <c r="A536" t="s">
        <v>920</v>
      </c>
      <c r="B536" t="s">
        <v>16</v>
      </c>
      <c r="C536">
        <v>114</v>
      </c>
      <c r="D536" t="s">
        <v>10</v>
      </c>
      <c r="E536" s="32">
        <v>45234</v>
      </c>
      <c r="F536">
        <v>144</v>
      </c>
      <c r="G536">
        <v>3.8</v>
      </c>
      <c r="H536">
        <v>2024</v>
      </c>
      <c r="I536" t="s">
        <v>1064</v>
      </c>
      <c r="J536" t="s">
        <v>1087</v>
      </c>
      <c r="K536">
        <v>4</v>
      </c>
      <c r="L536" t="s">
        <v>1059</v>
      </c>
      <c r="M536">
        <v>11</v>
      </c>
    </row>
    <row r="537" spans="1:13" x14ac:dyDescent="0.3">
      <c r="A537" t="s">
        <v>922</v>
      </c>
      <c r="B537" t="s">
        <v>15</v>
      </c>
      <c r="C537">
        <v>52</v>
      </c>
      <c r="D537" t="s">
        <v>9</v>
      </c>
      <c r="E537" s="32">
        <v>45236</v>
      </c>
      <c r="F537">
        <v>220</v>
      </c>
      <c r="G537">
        <v>5</v>
      </c>
      <c r="H537">
        <v>2024</v>
      </c>
      <c r="I537" t="s">
        <v>1063</v>
      </c>
      <c r="J537" t="s">
        <v>1088</v>
      </c>
      <c r="K537">
        <v>5</v>
      </c>
      <c r="L537" t="s">
        <v>1059</v>
      </c>
      <c r="M537">
        <v>11</v>
      </c>
    </row>
    <row r="538" spans="1:13" x14ac:dyDescent="0.3">
      <c r="A538" t="s">
        <v>923</v>
      </c>
      <c r="B538" t="s">
        <v>21</v>
      </c>
      <c r="C538">
        <v>105</v>
      </c>
      <c r="D538" t="s">
        <v>13</v>
      </c>
      <c r="E538" s="32">
        <v>45237</v>
      </c>
      <c r="F538">
        <v>112</v>
      </c>
      <c r="G538">
        <v>3.2</v>
      </c>
      <c r="H538">
        <v>2024</v>
      </c>
      <c r="I538" t="s">
        <v>1067</v>
      </c>
      <c r="J538" t="s">
        <v>1087</v>
      </c>
      <c r="K538">
        <v>3</v>
      </c>
      <c r="L538" t="s">
        <v>1059</v>
      </c>
      <c r="M538">
        <v>11</v>
      </c>
    </row>
    <row r="539" spans="1:13" x14ac:dyDescent="0.3">
      <c r="A539" t="s">
        <v>925</v>
      </c>
      <c r="B539" t="s">
        <v>19</v>
      </c>
      <c r="C539">
        <v>74</v>
      </c>
      <c r="D539" t="s">
        <v>10</v>
      </c>
      <c r="E539" s="32">
        <v>45238</v>
      </c>
      <c r="F539">
        <v>160</v>
      </c>
      <c r="G539">
        <v>2.7</v>
      </c>
      <c r="H539">
        <v>2024</v>
      </c>
      <c r="I539" t="s">
        <v>1068</v>
      </c>
      <c r="J539" t="s">
        <v>1087</v>
      </c>
      <c r="K539">
        <v>3</v>
      </c>
      <c r="L539" t="s">
        <v>1059</v>
      </c>
      <c r="M539">
        <v>11</v>
      </c>
    </row>
    <row r="540" spans="1:13" x14ac:dyDescent="0.3">
      <c r="A540" t="s">
        <v>926</v>
      </c>
      <c r="B540" t="s">
        <v>19</v>
      </c>
      <c r="C540">
        <v>30</v>
      </c>
      <c r="D540" t="s">
        <v>6</v>
      </c>
      <c r="E540" s="32">
        <v>45238</v>
      </c>
      <c r="F540">
        <v>84</v>
      </c>
      <c r="G540">
        <v>4</v>
      </c>
      <c r="H540">
        <v>2024</v>
      </c>
      <c r="I540" t="s">
        <v>1068</v>
      </c>
      <c r="J540" t="s">
        <v>1091</v>
      </c>
      <c r="K540">
        <v>4</v>
      </c>
      <c r="L540" t="s">
        <v>1059</v>
      </c>
      <c r="M540">
        <v>11</v>
      </c>
    </row>
    <row r="541" spans="1:13" x14ac:dyDescent="0.3">
      <c r="A541" t="s">
        <v>928</v>
      </c>
      <c r="B541" t="s">
        <v>19</v>
      </c>
      <c r="C541">
        <v>151</v>
      </c>
      <c r="D541" t="s">
        <v>11</v>
      </c>
      <c r="E541" s="32">
        <v>45238</v>
      </c>
      <c r="F541">
        <v>84</v>
      </c>
      <c r="G541">
        <v>4.5999999999999996</v>
      </c>
      <c r="H541">
        <v>2024</v>
      </c>
      <c r="I541" t="s">
        <v>1068</v>
      </c>
      <c r="J541" t="s">
        <v>1089</v>
      </c>
      <c r="K541">
        <v>5</v>
      </c>
      <c r="L541" t="s">
        <v>1059</v>
      </c>
      <c r="M541">
        <v>11</v>
      </c>
    </row>
    <row r="542" spans="1:13" x14ac:dyDescent="0.3">
      <c r="A542" t="s">
        <v>930</v>
      </c>
      <c r="B542" t="s">
        <v>16</v>
      </c>
      <c r="C542">
        <v>124</v>
      </c>
      <c r="D542" t="s">
        <v>10</v>
      </c>
      <c r="E542" s="32">
        <v>45239</v>
      </c>
      <c r="F542">
        <v>215</v>
      </c>
      <c r="G542">
        <v>3.5</v>
      </c>
      <c r="H542">
        <v>2024</v>
      </c>
      <c r="I542" t="s">
        <v>1066</v>
      </c>
      <c r="J542" t="s">
        <v>1089</v>
      </c>
      <c r="K542">
        <v>4</v>
      </c>
      <c r="L542" t="s">
        <v>1059</v>
      </c>
      <c r="M542">
        <v>11</v>
      </c>
    </row>
    <row r="543" spans="1:13" x14ac:dyDescent="0.3">
      <c r="A543" t="s">
        <v>931</v>
      </c>
      <c r="B543" t="s">
        <v>21</v>
      </c>
      <c r="C543">
        <v>110</v>
      </c>
      <c r="D543" t="s">
        <v>9</v>
      </c>
      <c r="E543" s="32">
        <v>45240</v>
      </c>
      <c r="F543">
        <v>132</v>
      </c>
      <c r="G543">
        <v>3.6</v>
      </c>
      <c r="H543">
        <v>2024</v>
      </c>
      <c r="I543" t="s">
        <v>1062</v>
      </c>
      <c r="J543" t="s">
        <v>1087</v>
      </c>
      <c r="K543">
        <v>4</v>
      </c>
      <c r="L543" t="s">
        <v>1059</v>
      </c>
      <c r="M543">
        <v>11</v>
      </c>
    </row>
    <row r="544" spans="1:13" x14ac:dyDescent="0.3">
      <c r="A544" t="s">
        <v>932</v>
      </c>
      <c r="B544" t="s">
        <v>18</v>
      </c>
      <c r="C544">
        <v>89</v>
      </c>
      <c r="D544" t="s">
        <v>13</v>
      </c>
      <c r="E544" s="32">
        <v>45240</v>
      </c>
      <c r="F544">
        <v>88</v>
      </c>
      <c r="G544">
        <v>4.9000000000000004</v>
      </c>
      <c r="H544">
        <v>2024</v>
      </c>
      <c r="I544" t="s">
        <v>1062</v>
      </c>
      <c r="J544" t="s">
        <v>1087</v>
      </c>
      <c r="K544">
        <v>5</v>
      </c>
      <c r="L544" t="s">
        <v>1059</v>
      </c>
      <c r="M544">
        <v>11</v>
      </c>
    </row>
    <row r="545" spans="1:13" x14ac:dyDescent="0.3">
      <c r="A545" t="s">
        <v>934</v>
      </c>
      <c r="B545" t="s">
        <v>19</v>
      </c>
      <c r="C545">
        <v>84</v>
      </c>
      <c r="D545" t="s">
        <v>13</v>
      </c>
      <c r="E545" s="32">
        <v>45241</v>
      </c>
      <c r="F545">
        <v>66</v>
      </c>
      <c r="G545">
        <v>4.7</v>
      </c>
      <c r="H545">
        <v>2024</v>
      </c>
      <c r="I545" t="s">
        <v>1064</v>
      </c>
      <c r="J545" t="s">
        <v>1087</v>
      </c>
      <c r="K545">
        <v>5</v>
      </c>
      <c r="L545" t="s">
        <v>1059</v>
      </c>
      <c r="M545">
        <v>11</v>
      </c>
    </row>
    <row r="546" spans="1:13" x14ac:dyDescent="0.3">
      <c r="A546" t="s">
        <v>936</v>
      </c>
      <c r="B546" t="s">
        <v>18</v>
      </c>
      <c r="C546">
        <v>146</v>
      </c>
      <c r="D546" t="s">
        <v>10</v>
      </c>
      <c r="E546" s="32">
        <v>45242</v>
      </c>
      <c r="F546">
        <v>220</v>
      </c>
      <c r="G546">
        <v>4.5</v>
      </c>
      <c r="H546">
        <v>2024</v>
      </c>
      <c r="I546" t="s">
        <v>1065</v>
      </c>
      <c r="J546" t="s">
        <v>1089</v>
      </c>
      <c r="K546">
        <v>5</v>
      </c>
      <c r="L546" t="s">
        <v>1059</v>
      </c>
      <c r="M546">
        <v>11</v>
      </c>
    </row>
    <row r="547" spans="1:13" x14ac:dyDescent="0.3">
      <c r="A547" t="s">
        <v>937</v>
      </c>
      <c r="B547" t="s">
        <v>14</v>
      </c>
      <c r="C547">
        <v>62</v>
      </c>
      <c r="D547" t="s">
        <v>6</v>
      </c>
      <c r="E547" s="32">
        <v>45243</v>
      </c>
      <c r="F547">
        <v>175</v>
      </c>
      <c r="G547">
        <v>4.4000000000000004</v>
      </c>
      <c r="H547">
        <v>2024</v>
      </c>
      <c r="I547" t="s">
        <v>1063</v>
      </c>
      <c r="J547" t="s">
        <v>1087</v>
      </c>
      <c r="K547">
        <v>4</v>
      </c>
      <c r="L547" t="s">
        <v>1059</v>
      </c>
      <c r="M547">
        <v>11</v>
      </c>
    </row>
    <row r="548" spans="1:13" x14ac:dyDescent="0.3">
      <c r="A548" t="s">
        <v>939</v>
      </c>
      <c r="B548" t="s">
        <v>22</v>
      </c>
      <c r="C548">
        <v>91</v>
      </c>
      <c r="D548" t="s">
        <v>11</v>
      </c>
      <c r="E548" s="32">
        <v>45243</v>
      </c>
      <c r="F548">
        <v>108</v>
      </c>
      <c r="G548">
        <v>3.8</v>
      </c>
      <c r="H548">
        <v>2024</v>
      </c>
      <c r="I548" t="s">
        <v>1063</v>
      </c>
      <c r="J548" t="s">
        <v>1087</v>
      </c>
      <c r="K548">
        <v>4</v>
      </c>
      <c r="L548" t="s">
        <v>1059</v>
      </c>
      <c r="M548">
        <v>11</v>
      </c>
    </row>
    <row r="549" spans="1:13" x14ac:dyDescent="0.3">
      <c r="A549" t="s">
        <v>941</v>
      </c>
      <c r="B549" t="s">
        <v>18</v>
      </c>
      <c r="C549">
        <v>149</v>
      </c>
      <c r="D549" t="s">
        <v>9</v>
      </c>
      <c r="E549" s="32">
        <v>45244</v>
      </c>
      <c r="F549">
        <v>44</v>
      </c>
      <c r="G549">
        <v>2.2000000000000002</v>
      </c>
      <c r="H549">
        <v>2024</v>
      </c>
      <c r="I549" t="s">
        <v>1067</v>
      </c>
      <c r="J549" t="s">
        <v>1089</v>
      </c>
      <c r="K549">
        <v>2</v>
      </c>
      <c r="L549" t="s">
        <v>1059</v>
      </c>
      <c r="M549">
        <v>11</v>
      </c>
    </row>
    <row r="550" spans="1:13" x14ac:dyDescent="0.3">
      <c r="A550" t="s">
        <v>943</v>
      </c>
      <c r="B550" t="s">
        <v>14</v>
      </c>
      <c r="C550">
        <v>113</v>
      </c>
      <c r="D550" t="s">
        <v>9</v>
      </c>
      <c r="E550" s="32">
        <v>45245</v>
      </c>
      <c r="F550">
        <v>34</v>
      </c>
      <c r="G550">
        <v>3.9</v>
      </c>
      <c r="H550">
        <v>2024</v>
      </c>
      <c r="I550" t="s">
        <v>1068</v>
      </c>
      <c r="J550" t="s">
        <v>1087</v>
      </c>
      <c r="K550">
        <v>4</v>
      </c>
      <c r="L550" t="s">
        <v>1059</v>
      </c>
      <c r="M550">
        <v>11</v>
      </c>
    </row>
    <row r="551" spans="1:13" x14ac:dyDescent="0.3">
      <c r="A551" t="s">
        <v>944</v>
      </c>
      <c r="B551" t="s">
        <v>8</v>
      </c>
      <c r="C551">
        <v>88</v>
      </c>
      <c r="D551" t="s">
        <v>10</v>
      </c>
      <c r="E551" s="32">
        <v>45245</v>
      </c>
      <c r="F551">
        <v>220</v>
      </c>
      <c r="G551">
        <v>4.0999999999999996</v>
      </c>
      <c r="H551">
        <v>2024</v>
      </c>
      <c r="I551" t="s">
        <v>1068</v>
      </c>
      <c r="J551" t="s">
        <v>1087</v>
      </c>
      <c r="K551">
        <v>4</v>
      </c>
      <c r="L551" t="s">
        <v>1059</v>
      </c>
      <c r="M551">
        <v>11</v>
      </c>
    </row>
    <row r="552" spans="1:13" x14ac:dyDescent="0.3">
      <c r="A552" t="s">
        <v>947</v>
      </c>
      <c r="B552" t="s">
        <v>16</v>
      </c>
      <c r="C552">
        <v>63</v>
      </c>
      <c r="D552" t="s">
        <v>9</v>
      </c>
      <c r="E552" s="32">
        <v>45246</v>
      </c>
      <c r="F552">
        <v>44</v>
      </c>
      <c r="G552">
        <v>5</v>
      </c>
      <c r="H552">
        <v>2024</v>
      </c>
      <c r="I552" t="s">
        <v>1066</v>
      </c>
      <c r="J552" t="s">
        <v>1087</v>
      </c>
      <c r="K552">
        <v>5</v>
      </c>
      <c r="L552" t="s">
        <v>1059</v>
      </c>
      <c r="M552">
        <v>11</v>
      </c>
    </row>
    <row r="553" spans="1:13" x14ac:dyDescent="0.3">
      <c r="A553" t="s">
        <v>948</v>
      </c>
      <c r="B553" t="s">
        <v>15</v>
      </c>
      <c r="C553">
        <v>54</v>
      </c>
      <c r="D553" t="s">
        <v>9</v>
      </c>
      <c r="E553" s="32">
        <v>45247</v>
      </c>
      <c r="F553">
        <v>35</v>
      </c>
      <c r="G553">
        <v>2.8</v>
      </c>
      <c r="H553">
        <v>2024</v>
      </c>
      <c r="I553" t="s">
        <v>1062</v>
      </c>
      <c r="J553" t="s">
        <v>1088</v>
      </c>
      <c r="K553">
        <v>3</v>
      </c>
      <c r="L553" t="s">
        <v>1059</v>
      </c>
      <c r="M553">
        <v>11</v>
      </c>
    </row>
    <row r="554" spans="1:13" x14ac:dyDescent="0.3">
      <c r="A554" t="s">
        <v>949</v>
      </c>
      <c r="B554" t="s">
        <v>16</v>
      </c>
      <c r="C554">
        <v>54</v>
      </c>
      <c r="D554" t="s">
        <v>10</v>
      </c>
      <c r="E554" s="32">
        <v>45247</v>
      </c>
      <c r="F554">
        <v>145</v>
      </c>
      <c r="G554">
        <v>2.7</v>
      </c>
      <c r="H554">
        <v>2024</v>
      </c>
      <c r="I554" t="s">
        <v>1062</v>
      </c>
      <c r="J554" t="s">
        <v>1088</v>
      </c>
      <c r="K554">
        <v>3</v>
      </c>
      <c r="L554" t="s">
        <v>1059</v>
      </c>
      <c r="M554">
        <v>11</v>
      </c>
    </row>
    <row r="555" spans="1:13" x14ac:dyDescent="0.3">
      <c r="A555" t="s">
        <v>950</v>
      </c>
      <c r="B555" t="s">
        <v>18</v>
      </c>
      <c r="C555">
        <v>71</v>
      </c>
      <c r="D555" t="s">
        <v>6</v>
      </c>
      <c r="E555" s="32">
        <v>45247</v>
      </c>
      <c r="F555">
        <v>64</v>
      </c>
      <c r="G555">
        <v>3.9</v>
      </c>
      <c r="H555">
        <v>2024</v>
      </c>
      <c r="I555" t="s">
        <v>1062</v>
      </c>
      <c r="J555" t="s">
        <v>1087</v>
      </c>
      <c r="K555">
        <v>4</v>
      </c>
      <c r="L555" t="s">
        <v>1059</v>
      </c>
      <c r="M555">
        <v>11</v>
      </c>
    </row>
    <row r="556" spans="1:13" x14ac:dyDescent="0.3">
      <c r="A556" t="s">
        <v>951</v>
      </c>
      <c r="B556" t="s">
        <v>16</v>
      </c>
      <c r="C556">
        <v>93</v>
      </c>
      <c r="D556" t="s">
        <v>10</v>
      </c>
      <c r="E556" s="32">
        <v>45248</v>
      </c>
      <c r="F556">
        <v>185</v>
      </c>
      <c r="G556">
        <v>4.3</v>
      </c>
      <c r="H556">
        <v>2024</v>
      </c>
      <c r="I556" t="s">
        <v>1064</v>
      </c>
      <c r="J556" t="s">
        <v>1087</v>
      </c>
      <c r="K556">
        <v>4</v>
      </c>
      <c r="L556" t="s">
        <v>1059</v>
      </c>
      <c r="M556">
        <v>11</v>
      </c>
    </row>
    <row r="557" spans="1:13" x14ac:dyDescent="0.3">
      <c r="A557" t="s">
        <v>952</v>
      </c>
      <c r="B557" t="s">
        <v>21</v>
      </c>
      <c r="C557">
        <v>96</v>
      </c>
      <c r="D557" t="s">
        <v>9</v>
      </c>
      <c r="E557" s="32">
        <v>45248</v>
      </c>
      <c r="F557">
        <v>215</v>
      </c>
      <c r="G557">
        <v>2.5</v>
      </c>
      <c r="H557">
        <v>2024</v>
      </c>
      <c r="I557" t="s">
        <v>1064</v>
      </c>
      <c r="J557" t="s">
        <v>1087</v>
      </c>
      <c r="K557">
        <v>3</v>
      </c>
      <c r="L557" t="s">
        <v>1059</v>
      </c>
      <c r="M557">
        <v>11</v>
      </c>
    </row>
    <row r="558" spans="1:13" x14ac:dyDescent="0.3">
      <c r="A558" t="s">
        <v>954</v>
      </c>
      <c r="B558" t="s">
        <v>16</v>
      </c>
      <c r="C558">
        <v>107</v>
      </c>
      <c r="D558" t="s">
        <v>6</v>
      </c>
      <c r="E558" s="32">
        <v>45248</v>
      </c>
      <c r="F558">
        <v>23</v>
      </c>
      <c r="G558">
        <v>3.4</v>
      </c>
      <c r="H558">
        <v>2024</v>
      </c>
      <c r="I558" t="s">
        <v>1064</v>
      </c>
      <c r="J558" t="s">
        <v>1087</v>
      </c>
      <c r="K558">
        <v>3</v>
      </c>
      <c r="L558" t="s">
        <v>1059</v>
      </c>
      <c r="M558">
        <v>11</v>
      </c>
    </row>
    <row r="559" spans="1:13" x14ac:dyDescent="0.3">
      <c r="A559" t="s">
        <v>957</v>
      </c>
      <c r="B559" t="s">
        <v>8</v>
      </c>
      <c r="C559">
        <v>26</v>
      </c>
      <c r="D559" t="s">
        <v>9</v>
      </c>
      <c r="E559" s="32">
        <v>45251</v>
      </c>
      <c r="F559">
        <v>74</v>
      </c>
      <c r="G559">
        <v>4.0999999999999996</v>
      </c>
      <c r="H559">
        <v>2024</v>
      </c>
      <c r="I559" t="s">
        <v>1067</v>
      </c>
      <c r="J559" t="s">
        <v>1091</v>
      </c>
      <c r="K559">
        <v>4</v>
      </c>
      <c r="L559" t="s">
        <v>1059</v>
      </c>
      <c r="M559">
        <v>11</v>
      </c>
    </row>
    <row r="560" spans="1:13" x14ac:dyDescent="0.3">
      <c r="A560" t="s">
        <v>958</v>
      </c>
      <c r="B560" t="s">
        <v>21</v>
      </c>
      <c r="C560">
        <v>158</v>
      </c>
      <c r="D560" t="s">
        <v>6</v>
      </c>
      <c r="E560" s="32">
        <v>45251</v>
      </c>
      <c r="F560">
        <v>36</v>
      </c>
      <c r="G560">
        <v>3</v>
      </c>
      <c r="H560">
        <v>2024</v>
      </c>
      <c r="I560" t="s">
        <v>1067</v>
      </c>
      <c r="J560" t="s">
        <v>1089</v>
      </c>
      <c r="K560">
        <v>3</v>
      </c>
      <c r="L560" t="s">
        <v>1059</v>
      </c>
      <c r="M560">
        <v>11</v>
      </c>
    </row>
    <row r="561" spans="1:13" x14ac:dyDescent="0.3">
      <c r="A561" t="s">
        <v>959</v>
      </c>
      <c r="B561" t="s">
        <v>15</v>
      </c>
      <c r="C561">
        <v>99</v>
      </c>
      <c r="D561" t="s">
        <v>6</v>
      </c>
      <c r="E561" s="32">
        <v>45253</v>
      </c>
      <c r="F561">
        <v>116</v>
      </c>
      <c r="G561">
        <v>3.9</v>
      </c>
      <c r="H561">
        <v>2024</v>
      </c>
      <c r="I561" t="s">
        <v>1066</v>
      </c>
      <c r="J561" t="s">
        <v>1087</v>
      </c>
      <c r="K561">
        <v>4</v>
      </c>
      <c r="L561" t="s">
        <v>1059</v>
      </c>
      <c r="M561">
        <v>11</v>
      </c>
    </row>
    <row r="562" spans="1:13" x14ac:dyDescent="0.3">
      <c r="A562" t="s">
        <v>960</v>
      </c>
      <c r="B562" t="s">
        <v>21</v>
      </c>
      <c r="C562">
        <v>78</v>
      </c>
      <c r="D562" t="s">
        <v>11</v>
      </c>
      <c r="E562" s="32">
        <v>45253</v>
      </c>
      <c r="F562">
        <v>140</v>
      </c>
      <c r="G562">
        <v>4</v>
      </c>
      <c r="H562">
        <v>2024</v>
      </c>
      <c r="I562" t="s">
        <v>1066</v>
      </c>
      <c r="J562" t="s">
        <v>1087</v>
      </c>
      <c r="K562">
        <v>4</v>
      </c>
      <c r="L562" t="s">
        <v>1059</v>
      </c>
      <c r="M562">
        <v>11</v>
      </c>
    </row>
    <row r="563" spans="1:13" x14ac:dyDescent="0.3">
      <c r="A563" t="s">
        <v>961</v>
      </c>
      <c r="B563" t="s">
        <v>21</v>
      </c>
      <c r="C563">
        <v>102</v>
      </c>
      <c r="D563" t="s">
        <v>9</v>
      </c>
      <c r="E563" s="32">
        <v>45254</v>
      </c>
      <c r="F563">
        <v>104</v>
      </c>
      <c r="G563">
        <v>4.5</v>
      </c>
      <c r="H563">
        <v>2024</v>
      </c>
      <c r="I563" t="s">
        <v>1062</v>
      </c>
      <c r="J563" t="s">
        <v>1087</v>
      </c>
      <c r="K563">
        <v>5</v>
      </c>
      <c r="L563" t="s">
        <v>1059</v>
      </c>
      <c r="M563">
        <v>11</v>
      </c>
    </row>
    <row r="564" spans="1:13" x14ac:dyDescent="0.3">
      <c r="A564" t="s">
        <v>962</v>
      </c>
      <c r="B564" t="s">
        <v>15</v>
      </c>
      <c r="C564">
        <v>158</v>
      </c>
      <c r="D564" t="s">
        <v>13</v>
      </c>
      <c r="E564" s="32">
        <v>45254</v>
      </c>
      <c r="F564">
        <v>148</v>
      </c>
      <c r="G564">
        <v>4</v>
      </c>
      <c r="H564">
        <v>2024</v>
      </c>
      <c r="I564" t="s">
        <v>1062</v>
      </c>
      <c r="J564" t="s">
        <v>1089</v>
      </c>
      <c r="K564">
        <v>4</v>
      </c>
      <c r="L564" t="s">
        <v>1059</v>
      </c>
      <c r="M564">
        <v>11</v>
      </c>
    </row>
    <row r="565" spans="1:13" x14ac:dyDescent="0.3">
      <c r="A565" t="s">
        <v>965</v>
      </c>
      <c r="B565" t="s">
        <v>8</v>
      </c>
      <c r="C565">
        <v>104</v>
      </c>
      <c r="D565" t="s">
        <v>13</v>
      </c>
      <c r="E565" s="32">
        <v>45256</v>
      </c>
      <c r="F565">
        <v>41</v>
      </c>
      <c r="G565">
        <v>4.7</v>
      </c>
      <c r="H565">
        <v>2024</v>
      </c>
      <c r="I565" t="s">
        <v>1065</v>
      </c>
      <c r="J565" t="s">
        <v>1087</v>
      </c>
      <c r="K565">
        <v>5</v>
      </c>
      <c r="L565" t="s">
        <v>1059</v>
      </c>
      <c r="M565">
        <v>11</v>
      </c>
    </row>
    <row r="566" spans="1:13" x14ac:dyDescent="0.3">
      <c r="A566" t="s">
        <v>966</v>
      </c>
      <c r="B566" t="s">
        <v>19</v>
      </c>
      <c r="C566">
        <v>96</v>
      </c>
      <c r="D566" t="s">
        <v>11</v>
      </c>
      <c r="E566" s="32">
        <v>45256</v>
      </c>
      <c r="F566">
        <v>136</v>
      </c>
      <c r="G566">
        <v>5</v>
      </c>
      <c r="H566">
        <v>2024</v>
      </c>
      <c r="I566" t="s">
        <v>1065</v>
      </c>
      <c r="J566" t="s">
        <v>1087</v>
      </c>
      <c r="K566">
        <v>5</v>
      </c>
      <c r="L566" t="s">
        <v>1059</v>
      </c>
      <c r="M566">
        <v>11</v>
      </c>
    </row>
    <row r="567" spans="1:13" x14ac:dyDescent="0.3">
      <c r="A567" t="s">
        <v>967</v>
      </c>
      <c r="B567" t="s">
        <v>22</v>
      </c>
      <c r="C567">
        <v>83</v>
      </c>
      <c r="D567" t="s">
        <v>9</v>
      </c>
      <c r="E567" s="32">
        <v>45257</v>
      </c>
      <c r="F567">
        <v>126</v>
      </c>
      <c r="G567">
        <v>1.5</v>
      </c>
      <c r="H567">
        <v>2024</v>
      </c>
      <c r="I567" t="s">
        <v>1063</v>
      </c>
      <c r="J567" t="s">
        <v>1087</v>
      </c>
      <c r="K567">
        <v>2</v>
      </c>
      <c r="L567" t="s">
        <v>1059</v>
      </c>
      <c r="M567">
        <v>11</v>
      </c>
    </row>
    <row r="568" spans="1:13" x14ac:dyDescent="0.3">
      <c r="A568" t="s">
        <v>969</v>
      </c>
      <c r="B568" t="s">
        <v>22</v>
      </c>
      <c r="C568">
        <v>152</v>
      </c>
      <c r="D568" t="s">
        <v>9</v>
      </c>
      <c r="E568" s="32">
        <v>45258</v>
      </c>
      <c r="F568">
        <v>125</v>
      </c>
      <c r="G568">
        <v>3.9</v>
      </c>
      <c r="H568">
        <v>2024</v>
      </c>
      <c r="I568" t="s">
        <v>1067</v>
      </c>
      <c r="J568" t="s">
        <v>1089</v>
      </c>
      <c r="K568">
        <v>4</v>
      </c>
      <c r="L568" t="s">
        <v>1059</v>
      </c>
      <c r="M568">
        <v>11</v>
      </c>
    </row>
    <row r="569" spans="1:13" x14ac:dyDescent="0.3">
      <c r="A569" t="s">
        <v>970</v>
      </c>
      <c r="B569" t="s">
        <v>18</v>
      </c>
      <c r="C569">
        <v>34</v>
      </c>
      <c r="D569" t="s">
        <v>11</v>
      </c>
      <c r="E569" s="32">
        <v>45258</v>
      </c>
      <c r="F569">
        <v>25</v>
      </c>
      <c r="G569">
        <v>4.0999999999999996</v>
      </c>
      <c r="H569">
        <v>2024</v>
      </c>
      <c r="I569" t="s">
        <v>1067</v>
      </c>
      <c r="J569" t="s">
        <v>1088</v>
      </c>
      <c r="K569">
        <v>4</v>
      </c>
      <c r="L569" t="s">
        <v>1059</v>
      </c>
      <c r="M569">
        <v>11</v>
      </c>
    </row>
    <row r="570" spans="1:13" x14ac:dyDescent="0.3">
      <c r="A570" t="s">
        <v>971</v>
      </c>
      <c r="B570" t="s">
        <v>14</v>
      </c>
      <c r="C570">
        <v>2</v>
      </c>
      <c r="D570" t="s">
        <v>6</v>
      </c>
      <c r="E570" s="32">
        <v>45259</v>
      </c>
      <c r="F570">
        <v>62</v>
      </c>
      <c r="G570">
        <v>2.8</v>
      </c>
      <c r="H570">
        <v>2024</v>
      </c>
      <c r="I570" t="s">
        <v>1068</v>
      </c>
      <c r="J570" t="s">
        <v>1090</v>
      </c>
      <c r="K570">
        <v>3</v>
      </c>
      <c r="L570" t="s">
        <v>1059</v>
      </c>
      <c r="M570">
        <v>11</v>
      </c>
    </row>
    <row r="571" spans="1:13" x14ac:dyDescent="0.3">
      <c r="A571" t="s">
        <v>974</v>
      </c>
      <c r="B571" t="s">
        <v>21</v>
      </c>
      <c r="C571">
        <v>79</v>
      </c>
      <c r="D571" t="s">
        <v>6</v>
      </c>
      <c r="E571" s="32">
        <v>45261</v>
      </c>
      <c r="F571">
        <v>115</v>
      </c>
      <c r="G571">
        <v>2.2999999999999998</v>
      </c>
      <c r="H571">
        <v>2024</v>
      </c>
      <c r="I571" t="s">
        <v>1062</v>
      </c>
      <c r="J571" t="s">
        <v>1087</v>
      </c>
      <c r="K571">
        <v>2</v>
      </c>
      <c r="L571" t="s">
        <v>1060</v>
      </c>
      <c r="M571">
        <v>12</v>
      </c>
    </row>
    <row r="572" spans="1:13" x14ac:dyDescent="0.3">
      <c r="A572" t="s">
        <v>976</v>
      </c>
      <c r="B572" t="s">
        <v>18</v>
      </c>
      <c r="C572">
        <v>97</v>
      </c>
      <c r="D572" t="s">
        <v>10</v>
      </c>
      <c r="E572" s="32">
        <v>45261</v>
      </c>
      <c r="F572">
        <v>114</v>
      </c>
      <c r="G572">
        <v>4.8</v>
      </c>
      <c r="H572">
        <v>2024</v>
      </c>
      <c r="I572" t="s">
        <v>1062</v>
      </c>
      <c r="J572" t="s">
        <v>1087</v>
      </c>
      <c r="K572">
        <v>5</v>
      </c>
      <c r="L572" t="s">
        <v>1060</v>
      </c>
      <c r="M572">
        <v>12</v>
      </c>
    </row>
    <row r="573" spans="1:13" x14ac:dyDescent="0.3">
      <c r="A573" t="s">
        <v>977</v>
      </c>
      <c r="B573" t="s">
        <v>21</v>
      </c>
      <c r="C573">
        <v>102</v>
      </c>
      <c r="D573" t="s">
        <v>9</v>
      </c>
      <c r="E573" s="32">
        <v>45262</v>
      </c>
      <c r="F573">
        <v>72</v>
      </c>
      <c r="G573">
        <v>3.7</v>
      </c>
      <c r="H573">
        <v>2024</v>
      </c>
      <c r="I573" t="s">
        <v>1064</v>
      </c>
      <c r="J573" t="s">
        <v>1087</v>
      </c>
      <c r="K573">
        <v>4</v>
      </c>
      <c r="L573" t="s">
        <v>1060</v>
      </c>
      <c r="M573">
        <v>12</v>
      </c>
    </row>
    <row r="574" spans="1:13" x14ac:dyDescent="0.3">
      <c r="A574" t="s">
        <v>980</v>
      </c>
      <c r="B574" t="s">
        <v>14</v>
      </c>
      <c r="C574">
        <v>133</v>
      </c>
      <c r="D574" t="s">
        <v>10</v>
      </c>
      <c r="E574" s="32">
        <v>45263</v>
      </c>
      <c r="F574">
        <v>96</v>
      </c>
      <c r="G574">
        <v>4.3</v>
      </c>
      <c r="H574">
        <v>2024</v>
      </c>
      <c r="I574" t="s">
        <v>1065</v>
      </c>
      <c r="J574" t="s">
        <v>1089</v>
      </c>
      <c r="K574">
        <v>4</v>
      </c>
      <c r="L574" t="s">
        <v>1060</v>
      </c>
      <c r="M574">
        <v>12</v>
      </c>
    </row>
    <row r="575" spans="1:13" x14ac:dyDescent="0.3">
      <c r="A575" t="s">
        <v>981</v>
      </c>
      <c r="B575" t="s">
        <v>21</v>
      </c>
      <c r="C575">
        <v>51</v>
      </c>
      <c r="D575" t="s">
        <v>6</v>
      </c>
      <c r="E575" s="32">
        <v>45263</v>
      </c>
      <c r="F575">
        <v>64</v>
      </c>
      <c r="G575">
        <v>3.7</v>
      </c>
      <c r="H575">
        <v>2024</v>
      </c>
      <c r="I575" t="s">
        <v>1065</v>
      </c>
      <c r="J575" t="s">
        <v>1088</v>
      </c>
      <c r="K575">
        <v>4</v>
      </c>
      <c r="L575" t="s">
        <v>1060</v>
      </c>
      <c r="M575">
        <v>12</v>
      </c>
    </row>
    <row r="576" spans="1:13" x14ac:dyDescent="0.3">
      <c r="A576" t="s">
        <v>983</v>
      </c>
      <c r="B576" t="s">
        <v>18</v>
      </c>
      <c r="C576">
        <v>38</v>
      </c>
      <c r="D576" t="s">
        <v>13</v>
      </c>
      <c r="E576" s="32">
        <v>45265</v>
      </c>
      <c r="F576">
        <v>27</v>
      </c>
      <c r="G576">
        <v>3.1</v>
      </c>
      <c r="H576">
        <v>2024</v>
      </c>
      <c r="I576" t="s">
        <v>1067</v>
      </c>
      <c r="J576" t="s">
        <v>1088</v>
      </c>
      <c r="K576">
        <v>3</v>
      </c>
      <c r="L576" t="s">
        <v>1060</v>
      </c>
      <c r="M576">
        <v>12</v>
      </c>
    </row>
    <row r="577" spans="1:13" x14ac:dyDescent="0.3">
      <c r="A577" t="s">
        <v>984</v>
      </c>
      <c r="B577" t="s">
        <v>14</v>
      </c>
      <c r="C577">
        <v>78</v>
      </c>
      <c r="D577" t="s">
        <v>13</v>
      </c>
      <c r="E577" s="32">
        <v>45267</v>
      </c>
      <c r="F577">
        <v>200</v>
      </c>
      <c r="G577">
        <v>2.4</v>
      </c>
      <c r="H577">
        <v>2024</v>
      </c>
      <c r="I577" t="s">
        <v>1066</v>
      </c>
      <c r="J577" t="s">
        <v>1087</v>
      </c>
      <c r="K577">
        <v>2</v>
      </c>
      <c r="L577" t="s">
        <v>1060</v>
      </c>
      <c r="M577">
        <v>12</v>
      </c>
    </row>
    <row r="578" spans="1:13" x14ac:dyDescent="0.3">
      <c r="A578" t="s">
        <v>985</v>
      </c>
      <c r="B578" t="s">
        <v>18</v>
      </c>
      <c r="C578">
        <v>25</v>
      </c>
      <c r="D578" t="s">
        <v>9</v>
      </c>
      <c r="E578" s="32">
        <v>45268</v>
      </c>
      <c r="F578">
        <v>93</v>
      </c>
      <c r="G578">
        <v>3.5</v>
      </c>
      <c r="H578">
        <v>2024</v>
      </c>
      <c r="I578" t="s">
        <v>1062</v>
      </c>
      <c r="J578" t="s">
        <v>1091</v>
      </c>
      <c r="K578">
        <v>4</v>
      </c>
      <c r="L578" t="s">
        <v>1060</v>
      </c>
      <c r="M578">
        <v>12</v>
      </c>
    </row>
    <row r="579" spans="1:13" x14ac:dyDescent="0.3">
      <c r="A579" t="s">
        <v>986</v>
      </c>
      <c r="B579" t="s">
        <v>16</v>
      </c>
      <c r="C579">
        <v>50</v>
      </c>
      <c r="D579" t="s">
        <v>6</v>
      </c>
      <c r="E579" s="32">
        <v>45268</v>
      </c>
      <c r="F579">
        <v>54</v>
      </c>
      <c r="G579">
        <v>4.3</v>
      </c>
      <c r="H579">
        <v>2024</v>
      </c>
      <c r="I579" t="s">
        <v>1062</v>
      </c>
      <c r="J579" t="s">
        <v>1088</v>
      </c>
      <c r="K579">
        <v>4</v>
      </c>
      <c r="L579" t="s">
        <v>1060</v>
      </c>
      <c r="M579">
        <v>12</v>
      </c>
    </row>
    <row r="580" spans="1:13" x14ac:dyDescent="0.3">
      <c r="A580" t="s">
        <v>987</v>
      </c>
      <c r="B580" t="s">
        <v>18</v>
      </c>
      <c r="C580">
        <v>103</v>
      </c>
      <c r="D580" t="s">
        <v>9</v>
      </c>
      <c r="E580" s="32">
        <v>45269</v>
      </c>
      <c r="F580">
        <v>72</v>
      </c>
      <c r="G580">
        <v>3.4</v>
      </c>
      <c r="H580">
        <v>2024</v>
      </c>
      <c r="I580" t="s">
        <v>1064</v>
      </c>
      <c r="J580" t="s">
        <v>1087</v>
      </c>
      <c r="K580">
        <v>3</v>
      </c>
      <c r="L580" t="s">
        <v>1060</v>
      </c>
      <c r="M580">
        <v>12</v>
      </c>
    </row>
    <row r="581" spans="1:13" x14ac:dyDescent="0.3">
      <c r="A581" t="s">
        <v>988</v>
      </c>
      <c r="B581" t="s">
        <v>22</v>
      </c>
      <c r="C581">
        <v>63</v>
      </c>
      <c r="D581" t="s">
        <v>11</v>
      </c>
      <c r="E581" s="32">
        <v>45269</v>
      </c>
      <c r="F581">
        <v>82</v>
      </c>
      <c r="G581">
        <v>3.7</v>
      </c>
      <c r="H581">
        <v>2024</v>
      </c>
      <c r="I581" t="s">
        <v>1064</v>
      </c>
      <c r="J581" t="s">
        <v>1087</v>
      </c>
      <c r="K581">
        <v>4</v>
      </c>
      <c r="L581" t="s">
        <v>1060</v>
      </c>
      <c r="M581">
        <v>12</v>
      </c>
    </row>
    <row r="582" spans="1:13" x14ac:dyDescent="0.3">
      <c r="A582" t="s">
        <v>989</v>
      </c>
      <c r="B582" t="s">
        <v>16</v>
      </c>
      <c r="C582">
        <v>96</v>
      </c>
      <c r="D582" t="s">
        <v>6</v>
      </c>
      <c r="E582" s="32">
        <v>45273</v>
      </c>
      <c r="F582">
        <v>164</v>
      </c>
      <c r="G582">
        <v>4.8</v>
      </c>
      <c r="H582">
        <v>2024</v>
      </c>
      <c r="I582" t="s">
        <v>1068</v>
      </c>
      <c r="J582" t="s">
        <v>1087</v>
      </c>
      <c r="K582">
        <v>5</v>
      </c>
      <c r="L582" t="s">
        <v>1060</v>
      </c>
      <c r="M582">
        <v>12</v>
      </c>
    </row>
    <row r="583" spans="1:13" x14ac:dyDescent="0.3">
      <c r="A583" t="s">
        <v>992</v>
      </c>
      <c r="B583" t="s">
        <v>5</v>
      </c>
      <c r="C583">
        <v>127</v>
      </c>
      <c r="D583" t="s">
        <v>6</v>
      </c>
      <c r="E583" s="32">
        <v>45275</v>
      </c>
      <c r="F583">
        <v>145</v>
      </c>
      <c r="G583">
        <v>2.6</v>
      </c>
      <c r="H583">
        <v>2024</v>
      </c>
      <c r="I583" t="s">
        <v>1062</v>
      </c>
      <c r="J583" t="s">
        <v>1089</v>
      </c>
      <c r="K583">
        <v>3</v>
      </c>
      <c r="L583" t="s">
        <v>1060</v>
      </c>
      <c r="M583">
        <v>12</v>
      </c>
    </row>
    <row r="584" spans="1:13" x14ac:dyDescent="0.3">
      <c r="A584" t="s">
        <v>993</v>
      </c>
      <c r="B584" t="s">
        <v>15</v>
      </c>
      <c r="C584">
        <v>96</v>
      </c>
      <c r="D584" t="s">
        <v>13</v>
      </c>
      <c r="E584" s="32">
        <v>45275</v>
      </c>
      <c r="F584">
        <v>115</v>
      </c>
      <c r="G584">
        <v>4.9000000000000004</v>
      </c>
      <c r="H584">
        <v>2024</v>
      </c>
      <c r="I584" t="s">
        <v>1062</v>
      </c>
      <c r="J584" t="s">
        <v>1087</v>
      </c>
      <c r="K584">
        <v>5</v>
      </c>
      <c r="L584" t="s">
        <v>1060</v>
      </c>
      <c r="M584">
        <v>12</v>
      </c>
    </row>
    <row r="585" spans="1:13" x14ac:dyDescent="0.3">
      <c r="A585" t="s">
        <v>1004</v>
      </c>
      <c r="B585" t="s">
        <v>5</v>
      </c>
      <c r="C585">
        <v>158</v>
      </c>
      <c r="D585" t="s">
        <v>10</v>
      </c>
      <c r="E585" s="32">
        <v>45276</v>
      </c>
      <c r="F585">
        <v>36</v>
      </c>
      <c r="G585">
        <v>4.7</v>
      </c>
      <c r="H585">
        <v>2024</v>
      </c>
      <c r="I585" t="s">
        <v>1064</v>
      </c>
      <c r="J585" t="s">
        <v>1089</v>
      </c>
      <c r="K585">
        <v>5</v>
      </c>
      <c r="L585" t="s">
        <v>1060</v>
      </c>
      <c r="M585">
        <v>12</v>
      </c>
    </row>
    <row r="586" spans="1:13" x14ac:dyDescent="0.3">
      <c r="A586" t="s">
        <v>1007</v>
      </c>
      <c r="B586" t="s">
        <v>18</v>
      </c>
      <c r="C586">
        <v>147</v>
      </c>
      <c r="D586" t="s">
        <v>13</v>
      </c>
      <c r="E586" s="32">
        <v>45276</v>
      </c>
      <c r="F586">
        <v>76</v>
      </c>
      <c r="G586">
        <v>4.7</v>
      </c>
      <c r="H586">
        <v>2024</v>
      </c>
      <c r="I586" t="s">
        <v>1064</v>
      </c>
      <c r="J586" t="s">
        <v>1089</v>
      </c>
      <c r="K586">
        <v>5</v>
      </c>
      <c r="L586" t="s">
        <v>1060</v>
      </c>
      <c r="M586">
        <v>12</v>
      </c>
    </row>
    <row r="587" spans="1:13" x14ac:dyDescent="0.3">
      <c r="A587" t="s">
        <v>1008</v>
      </c>
      <c r="B587" t="s">
        <v>19</v>
      </c>
      <c r="C587">
        <v>126</v>
      </c>
      <c r="D587" t="s">
        <v>13</v>
      </c>
      <c r="E587" s="32">
        <v>45276</v>
      </c>
      <c r="F587">
        <v>185</v>
      </c>
      <c r="G587">
        <v>4.8</v>
      </c>
      <c r="H587">
        <v>2024</v>
      </c>
      <c r="I587" t="s">
        <v>1064</v>
      </c>
      <c r="J587" t="s">
        <v>1089</v>
      </c>
      <c r="K587">
        <v>5</v>
      </c>
      <c r="L587" t="s">
        <v>1060</v>
      </c>
      <c r="M587">
        <v>12</v>
      </c>
    </row>
    <row r="588" spans="1:13" x14ac:dyDescent="0.3">
      <c r="A588" t="s">
        <v>1010</v>
      </c>
      <c r="B588" t="s">
        <v>14</v>
      </c>
      <c r="C588">
        <v>32</v>
      </c>
      <c r="D588" t="s">
        <v>13</v>
      </c>
      <c r="E588" s="32">
        <v>45277</v>
      </c>
      <c r="F588">
        <v>148</v>
      </c>
      <c r="G588">
        <v>4</v>
      </c>
      <c r="H588">
        <v>2024</v>
      </c>
      <c r="I588" t="s">
        <v>1065</v>
      </c>
      <c r="J588" t="s">
        <v>1088</v>
      </c>
      <c r="K588">
        <v>4</v>
      </c>
      <c r="L588" t="s">
        <v>1060</v>
      </c>
      <c r="M588">
        <v>12</v>
      </c>
    </row>
    <row r="589" spans="1:13" x14ac:dyDescent="0.3">
      <c r="A589" t="s">
        <v>1012</v>
      </c>
      <c r="B589" t="s">
        <v>22</v>
      </c>
      <c r="C589">
        <v>120</v>
      </c>
      <c r="D589" t="s">
        <v>11</v>
      </c>
      <c r="E589" s="32">
        <v>45280</v>
      </c>
      <c r="F589">
        <v>190</v>
      </c>
      <c r="G589">
        <v>3.7</v>
      </c>
      <c r="H589">
        <v>2024</v>
      </c>
      <c r="I589" t="s">
        <v>1068</v>
      </c>
      <c r="J589" t="s">
        <v>1087</v>
      </c>
      <c r="K589">
        <v>4</v>
      </c>
      <c r="L589" t="s">
        <v>1060</v>
      </c>
      <c r="M589">
        <v>12</v>
      </c>
    </row>
    <row r="590" spans="1:13" x14ac:dyDescent="0.3">
      <c r="A590" t="s">
        <v>1013</v>
      </c>
      <c r="B590" t="s">
        <v>8</v>
      </c>
      <c r="C590">
        <v>93</v>
      </c>
      <c r="D590" t="s">
        <v>13</v>
      </c>
      <c r="E590" s="32">
        <v>45280</v>
      </c>
      <c r="F590">
        <v>38</v>
      </c>
      <c r="G590">
        <v>4.5</v>
      </c>
      <c r="H590">
        <v>2024</v>
      </c>
      <c r="I590" t="s">
        <v>1068</v>
      </c>
      <c r="J590" t="s">
        <v>1087</v>
      </c>
      <c r="K590">
        <v>5</v>
      </c>
      <c r="L590" t="s">
        <v>1060</v>
      </c>
      <c r="M590">
        <v>12</v>
      </c>
    </row>
    <row r="591" spans="1:13" x14ac:dyDescent="0.3">
      <c r="A591" t="s">
        <v>1014</v>
      </c>
      <c r="B591" t="s">
        <v>15</v>
      </c>
      <c r="C591">
        <v>76</v>
      </c>
      <c r="D591" t="s">
        <v>9</v>
      </c>
      <c r="E591" s="32">
        <v>45281</v>
      </c>
      <c r="F591">
        <v>82</v>
      </c>
      <c r="G591">
        <v>2.1</v>
      </c>
      <c r="H591">
        <v>2024</v>
      </c>
      <c r="I591" t="s">
        <v>1066</v>
      </c>
      <c r="J591" t="s">
        <v>1087</v>
      </c>
      <c r="K591">
        <v>2</v>
      </c>
      <c r="L591" t="s">
        <v>1060</v>
      </c>
      <c r="M591">
        <v>12</v>
      </c>
    </row>
    <row r="592" spans="1:13" x14ac:dyDescent="0.3">
      <c r="A592" t="s">
        <v>1015</v>
      </c>
      <c r="B592" t="s">
        <v>5</v>
      </c>
      <c r="C592">
        <v>89</v>
      </c>
      <c r="D592" t="s">
        <v>13</v>
      </c>
      <c r="E592" s="32">
        <v>45284</v>
      </c>
      <c r="F592">
        <v>88</v>
      </c>
      <c r="G592">
        <v>2.8</v>
      </c>
      <c r="H592">
        <v>2024</v>
      </c>
      <c r="I592" t="s">
        <v>1065</v>
      </c>
      <c r="J592" t="s">
        <v>1087</v>
      </c>
      <c r="K592">
        <v>3</v>
      </c>
      <c r="L592" t="s">
        <v>1060</v>
      </c>
      <c r="M592">
        <v>12</v>
      </c>
    </row>
    <row r="593" spans="1:13" x14ac:dyDescent="0.3">
      <c r="A593" t="s">
        <v>1016</v>
      </c>
      <c r="B593" t="s">
        <v>21</v>
      </c>
      <c r="C593">
        <v>91</v>
      </c>
      <c r="D593" t="s">
        <v>6</v>
      </c>
      <c r="E593" s="32">
        <v>45284</v>
      </c>
      <c r="F593">
        <v>42</v>
      </c>
      <c r="G593">
        <v>4.0999999999999996</v>
      </c>
      <c r="H593">
        <v>2024</v>
      </c>
      <c r="I593" t="s">
        <v>1065</v>
      </c>
      <c r="J593" t="s">
        <v>1087</v>
      </c>
      <c r="K593">
        <v>4</v>
      </c>
      <c r="L593" t="s">
        <v>1060</v>
      </c>
      <c r="M593">
        <v>12</v>
      </c>
    </row>
    <row r="594" spans="1:13" x14ac:dyDescent="0.3">
      <c r="A594" t="s">
        <v>1018</v>
      </c>
      <c r="B594" t="s">
        <v>14</v>
      </c>
      <c r="C594">
        <v>140</v>
      </c>
      <c r="D594" t="s">
        <v>10</v>
      </c>
      <c r="E594" s="32">
        <v>45285</v>
      </c>
      <c r="F594">
        <v>105</v>
      </c>
      <c r="G594">
        <v>1.7</v>
      </c>
      <c r="H594">
        <v>2024</v>
      </c>
      <c r="I594" t="s">
        <v>1063</v>
      </c>
      <c r="J594" t="s">
        <v>1089</v>
      </c>
      <c r="K594">
        <v>2</v>
      </c>
      <c r="L594" t="s">
        <v>1060</v>
      </c>
      <c r="M594">
        <v>12</v>
      </c>
    </row>
    <row r="595" spans="1:13" x14ac:dyDescent="0.3">
      <c r="A595" t="s">
        <v>1022</v>
      </c>
      <c r="B595" t="s">
        <v>22</v>
      </c>
      <c r="C595">
        <v>72</v>
      </c>
      <c r="D595" t="s">
        <v>10</v>
      </c>
      <c r="E595" s="32">
        <v>45287</v>
      </c>
      <c r="F595">
        <v>164</v>
      </c>
      <c r="G595">
        <v>4.8</v>
      </c>
      <c r="H595">
        <v>2024</v>
      </c>
      <c r="I595" t="s">
        <v>1068</v>
      </c>
      <c r="J595" t="s">
        <v>1087</v>
      </c>
      <c r="K595">
        <v>5</v>
      </c>
      <c r="L595" t="s">
        <v>1060</v>
      </c>
      <c r="M595">
        <v>12</v>
      </c>
    </row>
    <row r="596" spans="1:13" x14ac:dyDescent="0.3">
      <c r="A596" t="s">
        <v>1026</v>
      </c>
      <c r="B596" t="s">
        <v>8</v>
      </c>
      <c r="C596">
        <v>40</v>
      </c>
      <c r="D596" t="s">
        <v>9</v>
      </c>
      <c r="E596" s="32">
        <v>45289</v>
      </c>
      <c r="F596">
        <v>111</v>
      </c>
      <c r="G596">
        <v>4.5999999999999996</v>
      </c>
      <c r="H596">
        <v>2024</v>
      </c>
      <c r="I596" t="s">
        <v>1062</v>
      </c>
      <c r="J596" t="s">
        <v>1088</v>
      </c>
      <c r="K596">
        <v>5</v>
      </c>
      <c r="L596" t="s">
        <v>1060</v>
      </c>
      <c r="M596">
        <v>12</v>
      </c>
    </row>
    <row r="597" spans="1:13" x14ac:dyDescent="0.3">
      <c r="A597" t="s">
        <v>1027</v>
      </c>
      <c r="B597" t="s">
        <v>21</v>
      </c>
      <c r="C597">
        <v>76</v>
      </c>
      <c r="D597" t="s">
        <v>11</v>
      </c>
      <c r="E597" s="32">
        <v>45289</v>
      </c>
      <c r="F597">
        <v>80</v>
      </c>
      <c r="G597">
        <v>3.5</v>
      </c>
      <c r="H597">
        <v>2024</v>
      </c>
      <c r="I597" t="s">
        <v>1062</v>
      </c>
      <c r="J597" t="s">
        <v>1087</v>
      </c>
      <c r="K597">
        <v>4</v>
      </c>
      <c r="L597" t="s">
        <v>1060</v>
      </c>
      <c r="M597">
        <v>12</v>
      </c>
    </row>
    <row r="598" spans="1:13" x14ac:dyDescent="0.3">
      <c r="A598" t="s">
        <v>1029</v>
      </c>
      <c r="B598" t="s">
        <v>21</v>
      </c>
      <c r="C598">
        <v>113</v>
      </c>
      <c r="D598" t="s">
        <v>10</v>
      </c>
      <c r="E598" s="32">
        <v>45290</v>
      </c>
      <c r="F598">
        <v>165</v>
      </c>
      <c r="G598">
        <v>4.7</v>
      </c>
      <c r="H598">
        <v>2024</v>
      </c>
      <c r="I598" t="s">
        <v>1064</v>
      </c>
      <c r="J598" t="s">
        <v>1087</v>
      </c>
      <c r="K598">
        <v>5</v>
      </c>
      <c r="L598" t="s">
        <v>1060</v>
      </c>
      <c r="M598">
        <v>12</v>
      </c>
    </row>
    <row r="599" spans="1:13" x14ac:dyDescent="0.3">
      <c r="A599" t="s">
        <v>1031</v>
      </c>
      <c r="B599" t="s">
        <v>15</v>
      </c>
      <c r="C599">
        <v>127</v>
      </c>
      <c r="D599" t="s">
        <v>13</v>
      </c>
      <c r="E599" s="32">
        <v>45290</v>
      </c>
      <c r="F599">
        <v>215</v>
      </c>
      <c r="G599">
        <v>3.8</v>
      </c>
      <c r="H599">
        <v>2024</v>
      </c>
      <c r="I599" t="s">
        <v>1064</v>
      </c>
      <c r="J599" t="s">
        <v>1089</v>
      </c>
      <c r="K599">
        <v>4</v>
      </c>
      <c r="L599" t="s">
        <v>1060</v>
      </c>
      <c r="M599">
        <v>12</v>
      </c>
    </row>
    <row r="600" spans="1:13" x14ac:dyDescent="0.3">
      <c r="A600" t="s">
        <v>1032</v>
      </c>
      <c r="B600" t="s">
        <v>14</v>
      </c>
      <c r="C600">
        <v>146</v>
      </c>
      <c r="D600" t="s">
        <v>10</v>
      </c>
      <c r="E600" s="32">
        <v>45291</v>
      </c>
      <c r="F600">
        <v>115</v>
      </c>
      <c r="G600">
        <v>2.2999999999999998</v>
      </c>
      <c r="H600">
        <v>2024</v>
      </c>
      <c r="I600" t="s">
        <v>1065</v>
      </c>
      <c r="J600" t="s">
        <v>1089</v>
      </c>
      <c r="K600">
        <v>2</v>
      </c>
      <c r="L600" t="s">
        <v>1060</v>
      </c>
      <c r="M600">
        <v>12</v>
      </c>
    </row>
    <row r="601" spans="1:13" x14ac:dyDescent="0.3">
      <c r="A601" t="s">
        <v>1033</v>
      </c>
      <c r="B601" t="s">
        <v>18</v>
      </c>
      <c r="C601">
        <v>123</v>
      </c>
      <c r="D601" t="s">
        <v>10</v>
      </c>
      <c r="E601" s="32">
        <v>45291</v>
      </c>
      <c r="F601">
        <v>64</v>
      </c>
      <c r="G601">
        <v>3.7</v>
      </c>
      <c r="H601">
        <v>2024</v>
      </c>
      <c r="I601" t="s">
        <v>1065</v>
      </c>
      <c r="J601" t="s">
        <v>1089</v>
      </c>
      <c r="K601">
        <v>4</v>
      </c>
      <c r="L601" t="s">
        <v>1060</v>
      </c>
      <c r="M601">
        <v>12</v>
      </c>
    </row>
    <row r="602" spans="1:13" x14ac:dyDescent="0.3">
      <c r="A602" t="s">
        <v>1034</v>
      </c>
      <c r="B602" t="s">
        <v>22</v>
      </c>
      <c r="C602">
        <v>114</v>
      </c>
      <c r="D602" t="s">
        <v>11</v>
      </c>
      <c r="E602" s="32">
        <v>45291</v>
      </c>
      <c r="F602">
        <v>40</v>
      </c>
      <c r="G602">
        <v>3.9</v>
      </c>
      <c r="H602">
        <v>2024</v>
      </c>
      <c r="I602" t="s">
        <v>1065</v>
      </c>
      <c r="J602" t="s">
        <v>1087</v>
      </c>
      <c r="K602">
        <v>4</v>
      </c>
      <c r="L602" t="s">
        <v>1060</v>
      </c>
      <c r="M602">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F8B11-D1A0-4A7F-9C09-0D5A8780F4EB}">
  <dimension ref="A3:L70"/>
  <sheetViews>
    <sheetView zoomScale="68" zoomScaleNormal="65" workbookViewId="0">
      <selection activeCell="L29" sqref="L29"/>
    </sheetView>
  </sheetViews>
  <sheetFormatPr defaultRowHeight="14.4" x14ac:dyDescent="0.3"/>
  <cols>
    <col min="1" max="1" width="13.8984375" bestFit="1" customWidth="1"/>
    <col min="2" max="2" width="10.3984375" bestFit="1" customWidth="1"/>
    <col min="3" max="3" width="11.3984375" bestFit="1" customWidth="1"/>
    <col min="4" max="4" width="10.19921875" bestFit="1" customWidth="1"/>
    <col min="5" max="5" width="13.8984375" bestFit="1" customWidth="1"/>
    <col min="6" max="6" width="10.3984375" bestFit="1" customWidth="1"/>
    <col min="7" max="7" width="10.69921875" bestFit="1" customWidth="1"/>
    <col min="8" max="8" width="13.8984375" bestFit="1" customWidth="1"/>
    <col min="9" max="9" width="10.3984375" bestFit="1" customWidth="1"/>
    <col min="11" max="11" width="13" customWidth="1"/>
    <col min="12" max="12" width="16.8984375" customWidth="1"/>
  </cols>
  <sheetData>
    <row r="3" spans="1:6" x14ac:dyDescent="0.3">
      <c r="A3" t="s">
        <v>1042</v>
      </c>
      <c r="B3" t="s">
        <v>1043</v>
      </c>
      <c r="C3" t="s">
        <v>1044</v>
      </c>
      <c r="D3" t="s">
        <v>1045</v>
      </c>
      <c r="E3" t="s">
        <v>1046</v>
      </c>
    </row>
    <row r="4" spans="1:6" x14ac:dyDescent="0.3">
      <c r="A4" s="21">
        <v>1000</v>
      </c>
      <c r="B4" s="25">
        <v>96623</v>
      </c>
      <c r="C4" s="21">
        <v>89850</v>
      </c>
      <c r="D4" s="23">
        <v>3.8854000000000033</v>
      </c>
      <c r="E4" s="21">
        <v>307</v>
      </c>
    </row>
    <row r="7" spans="1:6" x14ac:dyDescent="0.3">
      <c r="A7" t="s">
        <v>1042</v>
      </c>
      <c r="B7" t="s">
        <v>1043</v>
      </c>
      <c r="C7" t="s">
        <v>1044</v>
      </c>
      <c r="D7" t="s">
        <v>1045</v>
      </c>
      <c r="E7" t="s">
        <v>1046</v>
      </c>
    </row>
    <row r="8" spans="1:6" x14ac:dyDescent="0.3">
      <c r="A8" s="21">
        <v>189</v>
      </c>
      <c r="B8" s="25">
        <v>18415</v>
      </c>
      <c r="C8" s="21">
        <v>16834</v>
      </c>
      <c r="D8" s="23">
        <v>3.9227513227513247</v>
      </c>
      <c r="E8" s="21">
        <v>60</v>
      </c>
    </row>
    <row r="12" spans="1:6" x14ac:dyDescent="0.3">
      <c r="A12" s="27" t="s">
        <v>1047</v>
      </c>
      <c r="B12" t="s">
        <v>1042</v>
      </c>
      <c r="C12" t="s">
        <v>1061</v>
      </c>
      <c r="E12" s="27" t="s">
        <v>1047</v>
      </c>
      <c r="F12" t="s">
        <v>1042</v>
      </c>
    </row>
    <row r="13" spans="1:6" x14ac:dyDescent="0.3">
      <c r="A13" s="28" t="s">
        <v>1049</v>
      </c>
      <c r="B13" s="21">
        <v>16</v>
      </c>
      <c r="C13" s="21">
        <v>16</v>
      </c>
      <c r="E13" s="28" t="s">
        <v>1065</v>
      </c>
      <c r="F13" s="21">
        <v>36</v>
      </c>
    </row>
    <row r="14" spans="1:6" x14ac:dyDescent="0.3">
      <c r="A14" s="28" t="s">
        <v>1050</v>
      </c>
      <c r="B14" s="21">
        <v>14</v>
      </c>
      <c r="C14" s="21">
        <v>14</v>
      </c>
      <c r="E14" s="28" t="s">
        <v>1063</v>
      </c>
      <c r="F14" s="21">
        <v>30</v>
      </c>
    </row>
    <row r="15" spans="1:6" x14ac:dyDescent="0.3">
      <c r="A15" s="28" t="s">
        <v>1051</v>
      </c>
      <c r="B15" s="21">
        <v>26</v>
      </c>
      <c r="C15" s="21">
        <v>26</v>
      </c>
      <c r="E15" s="28" t="s">
        <v>1067</v>
      </c>
      <c r="F15" s="21">
        <v>13</v>
      </c>
    </row>
    <row r="16" spans="1:6" x14ac:dyDescent="0.3">
      <c r="A16" s="28" t="s">
        <v>1052</v>
      </c>
      <c r="B16" s="21">
        <v>29</v>
      </c>
      <c r="C16" s="21">
        <v>29</v>
      </c>
      <c r="E16" s="28" t="s">
        <v>1068</v>
      </c>
      <c r="F16" s="21">
        <v>23</v>
      </c>
    </row>
    <row r="17" spans="1:9" x14ac:dyDescent="0.3">
      <c r="A17" s="28" t="s">
        <v>1053</v>
      </c>
      <c r="B17" s="21">
        <v>17</v>
      </c>
      <c r="C17" s="21">
        <v>17</v>
      </c>
      <c r="E17" s="28" t="s">
        <v>1066</v>
      </c>
      <c r="F17" s="21">
        <v>23</v>
      </c>
    </row>
    <row r="18" spans="1:9" x14ac:dyDescent="0.3">
      <c r="A18" s="28" t="s">
        <v>1054</v>
      </c>
      <c r="B18" s="21">
        <v>15</v>
      </c>
      <c r="C18" s="21">
        <v>15</v>
      </c>
      <c r="E18" s="28" t="s">
        <v>1062</v>
      </c>
      <c r="F18" s="21">
        <v>24</v>
      </c>
    </row>
    <row r="19" spans="1:9" x14ac:dyDescent="0.3">
      <c r="A19" s="28" t="s">
        <v>1055</v>
      </c>
      <c r="B19" s="21">
        <v>15</v>
      </c>
      <c r="C19" s="21">
        <v>15</v>
      </c>
      <c r="E19" s="28" t="s">
        <v>1064</v>
      </c>
      <c r="F19" s="21">
        <v>40</v>
      </c>
    </row>
    <row r="20" spans="1:9" x14ac:dyDescent="0.3">
      <c r="A20" s="28" t="s">
        <v>1056</v>
      </c>
      <c r="B20" s="21">
        <v>7</v>
      </c>
      <c r="C20" s="21">
        <v>7</v>
      </c>
      <c r="E20" s="28" t="s">
        <v>1048</v>
      </c>
      <c r="F20" s="21">
        <v>189</v>
      </c>
    </row>
    <row r="21" spans="1:9" x14ac:dyDescent="0.3">
      <c r="A21" s="28" t="s">
        <v>1057</v>
      </c>
      <c r="B21" s="21">
        <v>11</v>
      </c>
      <c r="C21" s="21">
        <v>11</v>
      </c>
    </row>
    <row r="22" spans="1:9" x14ac:dyDescent="0.3">
      <c r="A22" s="28" t="s">
        <v>1058</v>
      </c>
      <c r="B22" s="21">
        <v>24</v>
      </c>
      <c r="C22" s="21">
        <v>24</v>
      </c>
    </row>
    <row r="23" spans="1:9" x14ac:dyDescent="0.3">
      <c r="A23" s="28" t="s">
        <v>1059</v>
      </c>
      <c r="B23" s="21">
        <v>9</v>
      </c>
      <c r="C23" s="21">
        <v>9</v>
      </c>
    </row>
    <row r="24" spans="1:9" x14ac:dyDescent="0.3">
      <c r="A24" s="28" t="s">
        <v>1060</v>
      </c>
      <c r="B24" s="21">
        <v>6</v>
      </c>
      <c r="C24" s="21">
        <v>6</v>
      </c>
    </row>
    <row r="25" spans="1:9" x14ac:dyDescent="0.3">
      <c r="A25" s="28" t="s">
        <v>1048</v>
      </c>
      <c r="B25" s="21">
        <v>189</v>
      </c>
      <c r="C25" s="21">
        <v>189</v>
      </c>
    </row>
    <row r="28" spans="1:9" x14ac:dyDescent="0.3">
      <c r="H28" t="str">
        <f>A43</f>
        <v>R01</v>
      </c>
    </row>
    <row r="29" spans="1:9" x14ac:dyDescent="0.3">
      <c r="A29" s="27" t="s">
        <v>1047</v>
      </c>
      <c r="B29" t="s">
        <v>1042</v>
      </c>
      <c r="C29" t="s">
        <v>1043</v>
      </c>
      <c r="E29" t="s">
        <v>1070</v>
      </c>
      <c r="F29" t="s">
        <v>1042</v>
      </c>
      <c r="G29" t="s">
        <v>1072</v>
      </c>
      <c r="H29" t="s">
        <v>1071</v>
      </c>
      <c r="I29" t="s">
        <v>1069</v>
      </c>
    </row>
    <row r="30" spans="1:9" x14ac:dyDescent="0.3">
      <c r="A30" s="28" t="s">
        <v>11</v>
      </c>
      <c r="B30" s="21">
        <v>189</v>
      </c>
      <c r="C30" s="22">
        <v>18415</v>
      </c>
      <c r="E30" s="28" t="s">
        <v>11</v>
      </c>
      <c r="F30" s="21">
        <v>189</v>
      </c>
      <c r="G30" s="30">
        <v>18415</v>
      </c>
      <c r="H30">
        <f>IF(E30=$H$28,F30,NA())</f>
        <v>189</v>
      </c>
      <c r="I30">
        <f>IF(E30=$H$28,G30,NA())</f>
        <v>18415</v>
      </c>
    </row>
    <row r="31" spans="1:9" x14ac:dyDescent="0.3">
      <c r="A31" s="28" t="s">
        <v>9</v>
      </c>
      <c r="B31" s="21">
        <v>218</v>
      </c>
      <c r="C31" s="22">
        <v>20581</v>
      </c>
      <c r="E31" s="28" t="s">
        <v>9</v>
      </c>
      <c r="F31" s="21">
        <v>218</v>
      </c>
      <c r="G31" s="30">
        <v>20581</v>
      </c>
      <c r="H31" t="e">
        <f t="shared" ref="H31:H34" si="0">IF(E31=$H$28,F31,NA())</f>
        <v>#N/A</v>
      </c>
      <c r="I31" t="e">
        <f t="shared" ref="I31:I34" si="1">IF(E31=$H$28,G31,NA())</f>
        <v>#N/A</v>
      </c>
    </row>
    <row r="32" spans="1:9" x14ac:dyDescent="0.3">
      <c r="A32" s="28" t="s">
        <v>6</v>
      </c>
      <c r="B32" s="21">
        <v>207</v>
      </c>
      <c r="C32" s="22">
        <v>20872</v>
      </c>
      <c r="E32" s="28" t="s">
        <v>6</v>
      </c>
      <c r="F32" s="21">
        <v>207</v>
      </c>
      <c r="G32" s="30">
        <v>20872</v>
      </c>
      <c r="H32" t="e">
        <f t="shared" si="0"/>
        <v>#N/A</v>
      </c>
      <c r="I32" t="e">
        <f t="shared" si="1"/>
        <v>#N/A</v>
      </c>
    </row>
    <row r="33" spans="1:12" x14ac:dyDescent="0.3">
      <c r="A33" s="28" t="s">
        <v>13</v>
      </c>
      <c r="B33" s="21">
        <v>186</v>
      </c>
      <c r="C33" s="22">
        <v>16651</v>
      </c>
      <c r="E33" s="28" t="s">
        <v>13</v>
      </c>
      <c r="F33" s="21">
        <v>186</v>
      </c>
      <c r="G33" s="30">
        <v>16651</v>
      </c>
      <c r="H33" t="e">
        <f t="shared" si="0"/>
        <v>#N/A</v>
      </c>
      <c r="I33" t="e">
        <f t="shared" si="1"/>
        <v>#N/A</v>
      </c>
    </row>
    <row r="34" spans="1:12" x14ac:dyDescent="0.3">
      <c r="A34" s="28" t="s">
        <v>10</v>
      </c>
      <c r="B34" s="21">
        <v>200</v>
      </c>
      <c r="C34" s="22">
        <v>20104</v>
      </c>
      <c r="E34" s="28" t="s">
        <v>10</v>
      </c>
      <c r="F34" s="21">
        <v>200</v>
      </c>
      <c r="G34" s="30">
        <v>20104</v>
      </c>
      <c r="H34" t="e">
        <f t="shared" si="0"/>
        <v>#N/A</v>
      </c>
      <c r="I34" t="e">
        <f t="shared" si="1"/>
        <v>#N/A</v>
      </c>
    </row>
    <row r="35" spans="1:12" x14ac:dyDescent="0.3">
      <c r="A35" s="28" t="s">
        <v>1048</v>
      </c>
      <c r="B35" s="21">
        <v>1000</v>
      </c>
      <c r="C35" s="22">
        <v>96623</v>
      </c>
    </row>
    <row r="42" spans="1:12" x14ac:dyDescent="0.3">
      <c r="A42" s="27" t="s">
        <v>1047</v>
      </c>
      <c r="C42" s="27" t="s">
        <v>1042</v>
      </c>
      <c r="D42" s="27" t="s">
        <v>1073</v>
      </c>
      <c r="H42" s="27" t="s">
        <v>1047</v>
      </c>
      <c r="I42" t="s">
        <v>1042</v>
      </c>
      <c r="K42" s="14" t="s">
        <v>1095</v>
      </c>
    </row>
    <row r="43" spans="1:12" x14ac:dyDescent="0.3">
      <c r="A43" s="31" t="s">
        <v>11</v>
      </c>
      <c r="C43" s="27" t="s">
        <v>1047</v>
      </c>
      <c r="D43" t="s">
        <v>998</v>
      </c>
      <c r="E43" t="s">
        <v>997</v>
      </c>
      <c r="F43" t="s">
        <v>1048</v>
      </c>
      <c r="H43" s="28">
        <v>1</v>
      </c>
      <c r="I43" s="21">
        <v>1</v>
      </c>
      <c r="K43" t="s">
        <v>1096</v>
      </c>
      <c r="L43" s="46">
        <f>A8/A4</f>
        <v>0.189</v>
      </c>
    </row>
    <row r="44" spans="1:12" x14ac:dyDescent="0.3">
      <c r="C44" s="28" t="s">
        <v>1001</v>
      </c>
      <c r="D44" s="21">
        <v>144</v>
      </c>
      <c r="E44" s="21">
        <v>132</v>
      </c>
      <c r="F44" s="21">
        <v>276</v>
      </c>
      <c r="H44" s="28">
        <v>2</v>
      </c>
      <c r="I44" s="21">
        <v>9</v>
      </c>
    </row>
    <row r="45" spans="1:12" x14ac:dyDescent="0.3">
      <c r="C45" s="28" t="s">
        <v>1000</v>
      </c>
      <c r="D45" s="21">
        <v>326</v>
      </c>
      <c r="E45" s="21">
        <v>63</v>
      </c>
      <c r="F45" s="21">
        <v>389</v>
      </c>
      <c r="H45" s="28">
        <v>3</v>
      </c>
      <c r="I45" s="21">
        <v>31</v>
      </c>
      <c r="K45" t="s">
        <v>1098</v>
      </c>
      <c r="L45">
        <f>_xlfn.XLOOKUP(A43,E30:E34,F30:F34)</f>
        <v>189</v>
      </c>
    </row>
    <row r="46" spans="1:12" x14ac:dyDescent="0.3">
      <c r="C46" s="28" t="s">
        <v>999</v>
      </c>
      <c r="D46" s="21">
        <v>129</v>
      </c>
      <c r="E46" s="21">
        <v>206</v>
      </c>
      <c r="F46" s="21">
        <v>335</v>
      </c>
      <c r="H46" s="28">
        <v>4</v>
      </c>
      <c r="I46" s="21">
        <v>88</v>
      </c>
      <c r="K46" t="s">
        <v>1072</v>
      </c>
      <c r="L46">
        <f>_xlfn.XLOOKUP(A43,E30:E34,G30:G34)</f>
        <v>18415</v>
      </c>
    </row>
    <row r="47" spans="1:12" x14ac:dyDescent="0.3">
      <c r="C47" s="28" t="s">
        <v>1048</v>
      </c>
      <c r="D47" s="21">
        <v>599</v>
      </c>
      <c r="E47" s="21">
        <v>401</v>
      </c>
      <c r="F47" s="21">
        <v>1000</v>
      </c>
      <c r="H47" s="28">
        <v>5</v>
      </c>
      <c r="I47" s="21">
        <v>60</v>
      </c>
    </row>
    <row r="48" spans="1:12" x14ac:dyDescent="0.3">
      <c r="H48" s="28" t="s">
        <v>1048</v>
      </c>
      <c r="I48" s="21">
        <v>189</v>
      </c>
      <c r="K48" t="s">
        <v>1099</v>
      </c>
      <c r="L48">
        <f>_xlfn.RANK.AVG(L45,F30:F34)</f>
        <v>4</v>
      </c>
    </row>
    <row r="49" spans="1:12" x14ac:dyDescent="0.3">
      <c r="K49" t="s">
        <v>1097</v>
      </c>
      <c r="L49">
        <f>_xlfn.RANK.AVG(L46,G30:G34)</f>
        <v>4</v>
      </c>
    </row>
    <row r="51" spans="1:12" x14ac:dyDescent="0.3">
      <c r="A51" s="27" t="s">
        <v>1043</v>
      </c>
      <c r="B51" s="27" t="s">
        <v>1073</v>
      </c>
      <c r="K51" t="s">
        <v>1100</v>
      </c>
    </row>
    <row r="52" spans="1:12" x14ac:dyDescent="0.3">
      <c r="A52" s="27" t="s">
        <v>1047</v>
      </c>
      <c r="B52" t="s">
        <v>11</v>
      </c>
      <c r="C52" t="s">
        <v>9</v>
      </c>
      <c r="D52" t="s">
        <v>6</v>
      </c>
      <c r="E52" t="s">
        <v>13</v>
      </c>
      <c r="F52" t="s">
        <v>10</v>
      </c>
      <c r="G52" t="s">
        <v>1048</v>
      </c>
      <c r="L52" t="str">
        <f>"% of Calls:"&amp;TEXT(L43,"0%")</f>
        <v>% of Calls:19%</v>
      </c>
    </row>
    <row r="53" spans="1:12" x14ac:dyDescent="0.3">
      <c r="A53" s="28" t="s">
        <v>1001</v>
      </c>
      <c r="B53" s="29"/>
      <c r="C53" s="29"/>
      <c r="D53" s="29"/>
      <c r="E53" s="29"/>
      <c r="F53" s="29"/>
      <c r="G53" s="29"/>
      <c r="L53" t="str">
        <f>IF(COUNTA(A43:A47)&gt;1,"","Call Rank:"&amp;L48)</f>
        <v>Call Rank:4</v>
      </c>
    </row>
    <row r="54" spans="1:12" x14ac:dyDescent="0.3">
      <c r="A54" s="33" t="s">
        <v>20</v>
      </c>
      <c r="B54" s="22">
        <v>891</v>
      </c>
      <c r="C54" s="22">
        <v>1332</v>
      </c>
      <c r="D54" s="22">
        <v>1282</v>
      </c>
      <c r="E54" s="22">
        <v>739</v>
      </c>
      <c r="F54" s="22">
        <v>560</v>
      </c>
      <c r="G54" s="22">
        <v>4804</v>
      </c>
      <c r="L54" t="str">
        <f>IF(COUNTA(A43:A47)&gt;1,"","Amount Rank:"&amp;L49)</f>
        <v>Amount Rank:4</v>
      </c>
    </row>
    <row r="55" spans="1:12" x14ac:dyDescent="0.3">
      <c r="A55" s="33" t="s">
        <v>12</v>
      </c>
      <c r="B55" s="22">
        <v>1991</v>
      </c>
      <c r="C55" s="22">
        <v>1886</v>
      </c>
      <c r="D55" s="22">
        <v>1206</v>
      </c>
      <c r="E55" s="22">
        <v>884</v>
      </c>
      <c r="F55" s="22">
        <v>1722</v>
      </c>
      <c r="G55" s="22">
        <v>7689</v>
      </c>
    </row>
    <row r="56" spans="1:12" x14ac:dyDescent="0.3">
      <c r="A56" s="33" t="s">
        <v>8</v>
      </c>
      <c r="B56" s="22">
        <v>1163</v>
      </c>
      <c r="C56" s="22">
        <v>1180</v>
      </c>
      <c r="D56" s="22">
        <v>1616</v>
      </c>
      <c r="E56" s="22">
        <v>1043</v>
      </c>
      <c r="F56" s="22">
        <v>1747</v>
      </c>
      <c r="G56" s="22">
        <v>6749</v>
      </c>
      <c r="K56" t="s">
        <v>1101</v>
      </c>
      <c r="L56" t="e" vm="1">
        <f>_xlfn.XLOOKUP(A43,Assets!$E$3:$E$7,Assets!$F$3:$F$7)</f>
        <v>#VALUE!</v>
      </c>
    </row>
    <row r="57" spans="1:12" x14ac:dyDescent="0.3">
      <c r="A57" s="33" t="s">
        <v>16</v>
      </c>
      <c r="B57" s="22">
        <v>1438</v>
      </c>
      <c r="C57" s="22">
        <v>1616</v>
      </c>
      <c r="D57" s="22">
        <v>866</v>
      </c>
      <c r="E57" s="22">
        <v>829</v>
      </c>
      <c r="F57" s="22">
        <v>2070</v>
      </c>
      <c r="G57" s="22">
        <v>6819</v>
      </c>
    </row>
    <row r="58" spans="1:12" x14ac:dyDescent="0.3">
      <c r="A58" s="28" t="s">
        <v>1000</v>
      </c>
      <c r="B58" s="29"/>
      <c r="C58" s="29"/>
      <c r="D58" s="29"/>
      <c r="E58" s="29"/>
      <c r="F58" s="29"/>
      <c r="G58" s="29"/>
    </row>
    <row r="59" spans="1:12" x14ac:dyDescent="0.3">
      <c r="A59" s="33" t="s">
        <v>24</v>
      </c>
      <c r="B59" s="22">
        <v>1233</v>
      </c>
      <c r="C59" s="22">
        <v>223</v>
      </c>
      <c r="D59" s="22">
        <v>1680</v>
      </c>
      <c r="E59" s="22">
        <v>990</v>
      </c>
      <c r="F59" s="22">
        <v>1508</v>
      </c>
      <c r="G59" s="22">
        <v>5634</v>
      </c>
    </row>
    <row r="60" spans="1:12" x14ac:dyDescent="0.3">
      <c r="A60" s="33" t="s">
        <v>15</v>
      </c>
      <c r="B60" s="22">
        <v>1598</v>
      </c>
      <c r="C60" s="22">
        <v>1907</v>
      </c>
      <c r="D60" s="22">
        <v>869</v>
      </c>
      <c r="E60" s="22">
        <v>1426</v>
      </c>
      <c r="F60" s="22">
        <v>1416</v>
      </c>
      <c r="G60" s="22">
        <v>7216</v>
      </c>
    </row>
    <row r="61" spans="1:12" x14ac:dyDescent="0.3">
      <c r="A61" s="33" t="s">
        <v>5</v>
      </c>
      <c r="B61" s="22">
        <v>900</v>
      </c>
      <c r="C61" s="22">
        <v>1016</v>
      </c>
      <c r="D61" s="22">
        <v>960</v>
      </c>
      <c r="E61" s="22">
        <v>940</v>
      </c>
      <c r="F61" s="22">
        <v>1193</v>
      </c>
      <c r="G61" s="22">
        <v>5009</v>
      </c>
    </row>
    <row r="62" spans="1:12" x14ac:dyDescent="0.3">
      <c r="A62" s="33" t="s">
        <v>18</v>
      </c>
      <c r="B62" s="22">
        <v>900</v>
      </c>
      <c r="C62" s="22">
        <v>1470</v>
      </c>
      <c r="D62" s="22">
        <v>1617</v>
      </c>
      <c r="E62" s="22">
        <v>1314</v>
      </c>
      <c r="F62" s="22">
        <v>941</v>
      </c>
      <c r="G62" s="22">
        <v>6242</v>
      </c>
    </row>
    <row r="63" spans="1:12" x14ac:dyDescent="0.3">
      <c r="A63" s="33" t="s">
        <v>14</v>
      </c>
      <c r="B63" s="22">
        <v>1255</v>
      </c>
      <c r="C63" s="22">
        <v>516</v>
      </c>
      <c r="D63" s="22">
        <v>1874</v>
      </c>
      <c r="E63" s="22">
        <v>1863</v>
      </c>
      <c r="F63" s="22">
        <v>1722</v>
      </c>
      <c r="G63" s="22">
        <v>7230</v>
      </c>
    </row>
    <row r="64" spans="1:12" x14ac:dyDescent="0.3">
      <c r="A64" s="33" t="s">
        <v>19</v>
      </c>
      <c r="B64" s="22">
        <v>1138</v>
      </c>
      <c r="C64" s="22">
        <v>1898</v>
      </c>
      <c r="D64" s="22">
        <v>1482</v>
      </c>
      <c r="E64" s="22">
        <v>846</v>
      </c>
      <c r="F64" s="22">
        <v>1154</v>
      </c>
      <c r="G64" s="22">
        <v>6518</v>
      </c>
    </row>
    <row r="65" spans="1:7" x14ac:dyDescent="0.3">
      <c r="A65" s="28" t="s">
        <v>999</v>
      </c>
      <c r="B65" s="29"/>
      <c r="C65" s="29"/>
      <c r="D65" s="29"/>
      <c r="E65" s="29"/>
      <c r="F65" s="29"/>
      <c r="G65" s="29"/>
    </row>
    <row r="66" spans="1:7" x14ac:dyDescent="0.3">
      <c r="A66" s="33" t="s">
        <v>17</v>
      </c>
      <c r="B66" s="22">
        <v>1655</v>
      </c>
      <c r="C66" s="22">
        <v>805</v>
      </c>
      <c r="D66" s="22">
        <v>2263</v>
      </c>
      <c r="E66" s="22">
        <v>987</v>
      </c>
      <c r="F66" s="22">
        <v>1075</v>
      </c>
      <c r="G66" s="22">
        <v>6785</v>
      </c>
    </row>
    <row r="67" spans="1:7" x14ac:dyDescent="0.3">
      <c r="A67" s="33" t="s">
        <v>23</v>
      </c>
      <c r="B67" s="22">
        <v>1104</v>
      </c>
      <c r="C67" s="22">
        <v>2280</v>
      </c>
      <c r="D67" s="22">
        <v>1445</v>
      </c>
      <c r="E67" s="22">
        <v>1722</v>
      </c>
      <c r="F67" s="22">
        <v>1196</v>
      </c>
      <c r="G67" s="22">
        <v>7747</v>
      </c>
    </row>
    <row r="68" spans="1:7" x14ac:dyDescent="0.3">
      <c r="A68" s="33" t="s">
        <v>7</v>
      </c>
      <c r="B68" s="22">
        <v>372</v>
      </c>
      <c r="C68" s="22">
        <v>1818</v>
      </c>
      <c r="D68" s="22">
        <v>1346</v>
      </c>
      <c r="E68" s="22">
        <v>1156</v>
      </c>
      <c r="F68" s="22">
        <v>1484</v>
      </c>
      <c r="G68" s="22">
        <v>6176</v>
      </c>
    </row>
    <row r="69" spans="1:7" x14ac:dyDescent="0.3">
      <c r="A69" s="33" t="s">
        <v>22</v>
      </c>
      <c r="B69" s="22">
        <v>1415</v>
      </c>
      <c r="C69" s="22">
        <v>1271</v>
      </c>
      <c r="D69" s="22">
        <v>1214</v>
      </c>
      <c r="E69" s="22">
        <v>1135</v>
      </c>
      <c r="F69" s="22">
        <v>1566</v>
      </c>
      <c r="G69" s="22">
        <v>6601</v>
      </c>
    </row>
    <row r="70" spans="1:7" x14ac:dyDescent="0.3">
      <c r="A70" s="33" t="s">
        <v>21</v>
      </c>
      <c r="B70" s="22">
        <v>1362</v>
      </c>
      <c r="C70" s="22">
        <v>1363</v>
      </c>
      <c r="D70" s="22">
        <v>1152</v>
      </c>
      <c r="E70" s="22">
        <v>777</v>
      </c>
      <c r="F70" s="22">
        <v>750</v>
      </c>
      <c r="G70" s="22">
        <v>5404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D16" zoomScale="83" zoomScaleNormal="102" workbookViewId="0">
      <selection activeCell="D7" sqref="D7"/>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1002</v>
      </c>
    </row>
    <row r="2" spans="2:20" x14ac:dyDescent="0.3">
      <c r="R2" s="1"/>
    </row>
    <row r="3" spans="2:20" x14ac:dyDescent="0.3">
      <c r="B3" s="14" t="s">
        <v>25</v>
      </c>
      <c r="C3" s="14" t="s">
        <v>0</v>
      </c>
      <c r="D3" s="15" t="s">
        <v>1</v>
      </c>
      <c r="E3" s="16" t="s">
        <v>3</v>
      </c>
      <c r="F3" s="16" t="s">
        <v>4</v>
      </c>
      <c r="G3" s="14" t="s">
        <v>2</v>
      </c>
      <c r="H3" s="14" t="s">
        <v>994</v>
      </c>
      <c r="I3" t="s">
        <v>1035</v>
      </c>
      <c r="J3" t="s">
        <v>1036</v>
      </c>
      <c r="K3" t="s">
        <v>1037</v>
      </c>
      <c r="L3" t="s">
        <v>1038</v>
      </c>
      <c r="Q3" s="8" t="s">
        <v>0</v>
      </c>
      <c r="R3" s="9" t="s">
        <v>1041</v>
      </c>
      <c r="S3" s="9" t="s">
        <v>995</v>
      </c>
      <c r="T3" s="10" t="s">
        <v>996</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997</v>
      </c>
      <c r="S4" s="2">
        <v>41</v>
      </c>
      <c r="T4" s="7" t="s">
        <v>999</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997</v>
      </c>
      <c r="S5" s="2">
        <v>31</v>
      </c>
      <c r="T5" s="7" t="s">
        <v>1000</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997</v>
      </c>
      <c r="S6" s="2">
        <v>26</v>
      </c>
      <c r="T6" s="7" t="s">
        <v>1001</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997</v>
      </c>
      <c r="S7" s="2">
        <v>36</v>
      </c>
      <c r="T7" s="7" t="s">
        <v>1001</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997</v>
      </c>
      <c r="S8" s="2">
        <v>37</v>
      </c>
      <c r="T8" s="7" t="s">
        <v>999</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997</v>
      </c>
      <c r="S9" s="2">
        <v>23</v>
      </c>
      <c r="T9" s="7" t="s">
        <v>999</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998</v>
      </c>
      <c r="S10" s="2">
        <v>22</v>
      </c>
      <c r="T10" s="7" t="s">
        <v>1000</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998</v>
      </c>
      <c r="S11" s="2">
        <v>42</v>
      </c>
      <c r="T11" s="7" t="s">
        <v>1000</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998</v>
      </c>
      <c r="S12" s="2">
        <v>25</v>
      </c>
      <c r="T12" s="7" t="s">
        <v>999</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998</v>
      </c>
      <c r="S13" s="2">
        <v>30</v>
      </c>
      <c r="T13" s="7" t="s">
        <v>1000</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998</v>
      </c>
      <c r="S14" s="2">
        <v>30</v>
      </c>
      <c r="T14" s="7" t="s">
        <v>1001</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998</v>
      </c>
      <c r="S15" s="2">
        <v>28</v>
      </c>
      <c r="T15" s="7" t="s">
        <v>1001</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998</v>
      </c>
      <c r="S16" s="2">
        <v>37</v>
      </c>
      <c r="T16" s="7" t="s">
        <v>1000</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998</v>
      </c>
      <c r="S17" s="2">
        <v>38</v>
      </c>
      <c r="T17" s="7" t="s">
        <v>999</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998</v>
      </c>
      <c r="S18" s="12">
        <v>43</v>
      </c>
      <c r="T18" s="13" t="s">
        <v>1000</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1003</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1004</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1005</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1006</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1007</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1008</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1009</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1010</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1011</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1012</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1013</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1014</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1015</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1016</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1017</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1018</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1019</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1020</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1021</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1022</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1023</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1024</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1025</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1026</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1027</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1028</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1029</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1030</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1031</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1032</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1033</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1034</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7F8FD-EDDD-4653-A639-6944BA5916B4}">
  <dimension ref="A1:V75"/>
  <sheetViews>
    <sheetView tabSelected="1" zoomScale="85" workbookViewId="0">
      <selection activeCell="U24" sqref="U24"/>
    </sheetView>
  </sheetViews>
  <sheetFormatPr defaultRowHeight="14.4" x14ac:dyDescent="0.3"/>
  <cols>
    <col min="10" max="10" width="6.8984375" customWidth="1"/>
    <col min="12" max="12" width="5.8984375" customWidth="1"/>
    <col min="13" max="13" width="11.296875" customWidth="1"/>
    <col min="19" max="19" width="11.8984375" customWidth="1"/>
  </cols>
  <sheetData>
    <row r="1" spans="1:22" ht="17.399999999999999" x14ac:dyDescent="0.35">
      <c r="A1" s="20"/>
      <c r="B1" s="20"/>
      <c r="C1" s="20"/>
      <c r="D1" s="20"/>
      <c r="E1" s="20"/>
      <c r="F1" s="20"/>
      <c r="G1" s="20"/>
      <c r="H1" s="20"/>
      <c r="I1" s="26"/>
      <c r="J1" s="51" t="s">
        <v>1102</v>
      </c>
      <c r="K1" s="51"/>
      <c r="L1" s="51"/>
      <c r="M1" s="20"/>
      <c r="N1" s="20"/>
      <c r="O1" s="20"/>
      <c r="P1" s="20"/>
      <c r="Q1" s="20"/>
      <c r="R1" s="20"/>
      <c r="S1" s="20"/>
      <c r="T1" s="20"/>
      <c r="U1" s="20"/>
      <c r="V1" s="20"/>
    </row>
    <row r="2" spans="1:22" x14ac:dyDescent="0.3">
      <c r="A2" s="20"/>
      <c r="B2" s="20"/>
      <c r="C2" s="20"/>
      <c r="D2" s="20"/>
      <c r="E2" s="20"/>
      <c r="F2" s="20"/>
      <c r="G2" s="20"/>
      <c r="H2" s="20"/>
      <c r="I2" s="20"/>
      <c r="J2" s="20"/>
      <c r="K2" s="20"/>
      <c r="L2" s="20"/>
      <c r="M2" s="20"/>
      <c r="N2" s="20"/>
      <c r="O2" s="20"/>
      <c r="P2" s="20"/>
      <c r="Q2" s="20"/>
      <c r="R2" s="20"/>
      <c r="S2" s="20"/>
      <c r="T2" s="20"/>
      <c r="U2" s="20"/>
      <c r="V2" s="20"/>
    </row>
    <row r="3" spans="1:22" x14ac:dyDescent="0.3">
      <c r="A3" s="20"/>
      <c r="B3" s="20"/>
      <c r="C3" s="20"/>
      <c r="D3" s="20"/>
      <c r="E3" s="20"/>
      <c r="F3" s="20"/>
      <c r="G3" s="20"/>
      <c r="H3" s="20"/>
      <c r="I3" s="20"/>
      <c r="J3" s="20"/>
      <c r="K3" s="20"/>
      <c r="L3" s="20"/>
      <c r="M3" s="20"/>
      <c r="N3" s="20"/>
      <c r="O3" s="20"/>
      <c r="P3" s="20"/>
      <c r="Q3" s="20"/>
      <c r="R3" s="20"/>
      <c r="S3" s="20"/>
      <c r="T3" s="20"/>
      <c r="U3" s="20"/>
      <c r="V3" s="20"/>
    </row>
    <row r="4" spans="1:22" x14ac:dyDescent="0.3">
      <c r="A4" s="20"/>
      <c r="B4" s="20"/>
      <c r="C4" s="20"/>
      <c r="D4" s="20"/>
      <c r="E4" s="20"/>
      <c r="F4" s="20"/>
      <c r="G4" s="20"/>
      <c r="H4" s="20"/>
      <c r="I4" s="20"/>
      <c r="J4" s="20"/>
      <c r="K4" s="20"/>
      <c r="L4" s="20"/>
      <c r="M4" s="20"/>
      <c r="N4" s="20"/>
      <c r="O4" s="20"/>
      <c r="P4" s="20"/>
      <c r="Q4" s="20"/>
      <c r="R4" s="20"/>
      <c r="S4" s="20"/>
      <c r="T4" s="20"/>
      <c r="U4" s="20"/>
      <c r="V4" s="20"/>
    </row>
    <row r="5" spans="1:22" x14ac:dyDescent="0.3">
      <c r="A5" s="20"/>
      <c r="B5" s="20"/>
      <c r="C5" s="20"/>
      <c r="D5" s="20"/>
      <c r="E5" s="20"/>
      <c r="F5" s="20"/>
      <c r="G5" s="20"/>
      <c r="H5" s="20"/>
      <c r="I5" s="20"/>
      <c r="J5" s="20"/>
      <c r="K5" s="20"/>
      <c r="L5" s="20"/>
      <c r="M5" s="20"/>
      <c r="N5" s="20"/>
      <c r="O5" s="20"/>
      <c r="P5" s="20"/>
      <c r="Q5" s="20"/>
      <c r="R5" s="20"/>
      <c r="S5" s="20"/>
      <c r="T5" s="20"/>
      <c r="U5" s="20"/>
      <c r="V5" s="20"/>
    </row>
    <row r="6" spans="1:22" x14ac:dyDescent="0.3">
      <c r="A6" s="20"/>
      <c r="B6" s="20"/>
      <c r="C6" s="20"/>
      <c r="D6" s="20"/>
      <c r="E6" s="20"/>
      <c r="F6" s="20"/>
      <c r="G6" s="20"/>
      <c r="H6" s="20"/>
      <c r="I6" s="20"/>
      <c r="J6" s="20"/>
      <c r="K6" s="20"/>
      <c r="L6" s="20"/>
      <c r="M6" s="20"/>
      <c r="N6" s="20"/>
      <c r="O6" s="20"/>
      <c r="P6" s="20"/>
      <c r="Q6" s="20"/>
      <c r="R6" s="20"/>
      <c r="S6" s="20"/>
      <c r="T6" s="20"/>
      <c r="U6" s="20"/>
      <c r="V6" s="20"/>
    </row>
    <row r="7" spans="1:22" x14ac:dyDescent="0.3">
      <c r="A7" s="20"/>
      <c r="B7" s="20"/>
      <c r="C7" s="20"/>
      <c r="D7" s="20"/>
      <c r="E7" s="20"/>
      <c r="F7" s="20"/>
      <c r="G7" s="20"/>
      <c r="H7" s="20"/>
      <c r="I7" s="20"/>
      <c r="J7" s="20"/>
      <c r="K7" s="20"/>
      <c r="L7" s="20"/>
      <c r="M7" s="20"/>
      <c r="N7" s="20"/>
      <c r="O7" s="20"/>
      <c r="P7" s="20"/>
      <c r="Q7" s="20"/>
      <c r="R7" s="20"/>
      <c r="S7" s="20"/>
      <c r="T7" s="20"/>
      <c r="U7" s="20"/>
      <c r="V7" s="20"/>
    </row>
    <row r="8" spans="1:22" x14ac:dyDescent="0.3">
      <c r="A8" s="20"/>
      <c r="B8" s="20"/>
      <c r="C8" s="20"/>
      <c r="D8" s="20"/>
      <c r="E8" s="20"/>
      <c r="F8" s="20"/>
      <c r="G8" s="20"/>
      <c r="H8" s="20"/>
      <c r="I8" s="20"/>
      <c r="J8" s="20"/>
      <c r="K8" s="20"/>
      <c r="L8" s="20"/>
      <c r="M8" s="20"/>
      <c r="N8" s="20"/>
      <c r="O8" s="20"/>
      <c r="P8" s="20"/>
      <c r="Q8" s="20"/>
      <c r="R8" s="20"/>
      <c r="S8" s="20"/>
      <c r="T8" s="20"/>
      <c r="U8" s="20"/>
      <c r="V8" s="20"/>
    </row>
    <row r="9" spans="1:22" x14ac:dyDescent="0.3">
      <c r="A9" s="20"/>
      <c r="B9" s="20"/>
      <c r="C9" s="20"/>
      <c r="D9" s="20"/>
      <c r="E9" s="20"/>
      <c r="F9" s="20"/>
      <c r="G9" s="20"/>
      <c r="H9" s="20"/>
      <c r="I9" s="20"/>
      <c r="J9" s="20"/>
      <c r="K9" s="20"/>
      <c r="L9" s="20"/>
      <c r="M9" s="20"/>
      <c r="N9" s="20"/>
      <c r="O9" s="20"/>
      <c r="P9" s="20"/>
      <c r="Q9" s="20"/>
      <c r="R9" s="20"/>
      <c r="S9" s="20"/>
      <c r="T9" s="20"/>
      <c r="U9" s="20"/>
      <c r="V9" s="20"/>
    </row>
    <row r="10" spans="1:22" x14ac:dyDescent="0.3">
      <c r="A10" s="20"/>
      <c r="B10" s="20"/>
      <c r="C10" s="20"/>
      <c r="D10" s="20"/>
      <c r="E10" s="24"/>
      <c r="F10" s="20"/>
      <c r="G10" s="20"/>
      <c r="H10" s="20"/>
      <c r="I10" s="20"/>
      <c r="J10" s="20"/>
      <c r="K10" s="20"/>
      <c r="L10" s="20"/>
      <c r="M10" s="20"/>
      <c r="N10" s="20"/>
      <c r="O10" s="20"/>
      <c r="P10" s="20"/>
      <c r="Q10" s="20"/>
      <c r="R10" s="20"/>
      <c r="S10" s="20"/>
      <c r="T10" s="20"/>
      <c r="U10" s="20"/>
      <c r="V10" s="20"/>
    </row>
    <row r="11" spans="1:22" x14ac:dyDescent="0.3">
      <c r="A11" s="20"/>
      <c r="B11" s="20"/>
      <c r="C11" s="20"/>
      <c r="D11" s="20"/>
      <c r="E11" s="20"/>
      <c r="F11" s="20"/>
      <c r="G11" s="20"/>
      <c r="H11" s="20"/>
      <c r="I11" s="20"/>
      <c r="J11" s="20"/>
      <c r="K11" s="20"/>
      <c r="L11" s="20"/>
      <c r="M11" s="20"/>
      <c r="N11" s="20"/>
      <c r="O11" s="20"/>
      <c r="P11" s="20"/>
      <c r="Q11" s="20"/>
      <c r="R11" s="20"/>
      <c r="S11" s="20"/>
      <c r="T11" s="20"/>
      <c r="U11" s="20"/>
      <c r="V11" s="20"/>
    </row>
    <row r="12" spans="1:22" x14ac:dyDescent="0.3">
      <c r="A12" s="20"/>
      <c r="B12" s="20"/>
      <c r="C12" s="20"/>
      <c r="D12" s="26"/>
      <c r="E12" s="20"/>
      <c r="F12" s="20"/>
      <c r="G12" s="20"/>
      <c r="H12" s="20"/>
      <c r="I12" s="20"/>
      <c r="J12" s="20"/>
      <c r="K12" s="20"/>
      <c r="L12" s="20"/>
      <c r="M12" s="20"/>
      <c r="N12" s="20"/>
      <c r="O12" s="20"/>
      <c r="P12" s="20"/>
      <c r="Q12" s="20"/>
      <c r="R12" s="20"/>
      <c r="S12" s="20"/>
      <c r="T12" s="20"/>
      <c r="U12" s="20"/>
      <c r="V12" s="20"/>
    </row>
    <row r="13" spans="1:22" x14ac:dyDescent="0.3">
      <c r="A13" s="20"/>
      <c r="B13" s="20"/>
      <c r="C13" s="20"/>
      <c r="D13" s="20"/>
      <c r="E13" s="20"/>
      <c r="F13" s="20"/>
      <c r="G13" s="20"/>
      <c r="H13" s="20"/>
      <c r="I13" s="20"/>
      <c r="J13" s="20"/>
      <c r="K13" s="20"/>
      <c r="L13" s="20"/>
      <c r="M13" s="20"/>
      <c r="N13" s="20"/>
      <c r="O13" s="20"/>
      <c r="P13" s="20"/>
      <c r="Q13" s="20"/>
      <c r="R13" s="20"/>
      <c r="S13" s="20"/>
      <c r="T13" s="20"/>
      <c r="U13" s="20"/>
      <c r="V13" s="20"/>
    </row>
    <row r="14" spans="1:22" x14ac:dyDescent="0.3">
      <c r="A14" s="20"/>
      <c r="B14" s="20"/>
      <c r="C14" s="20"/>
      <c r="D14" s="20"/>
      <c r="E14" s="20"/>
      <c r="F14" s="20"/>
      <c r="G14" s="20"/>
      <c r="H14" s="20"/>
      <c r="I14" s="20"/>
      <c r="J14" s="20"/>
      <c r="K14" s="20"/>
      <c r="L14" s="20"/>
      <c r="M14" s="34"/>
      <c r="N14" s="43" t="str" cm="1">
        <f t="array" ref="N14:R14">Pivots!B52:F52</f>
        <v>R01</v>
      </c>
      <c r="O14" s="43" t="str">
        <v>R02</v>
      </c>
      <c r="P14" s="43" t="str">
        <v>R03</v>
      </c>
      <c r="Q14" s="43" t="str">
        <v>R04</v>
      </c>
      <c r="R14" s="43" t="str">
        <v>R05</v>
      </c>
      <c r="S14" s="44" t="s">
        <v>1094</v>
      </c>
      <c r="T14" s="20"/>
      <c r="U14" s="20"/>
      <c r="V14" s="20"/>
    </row>
    <row r="15" spans="1:22" x14ac:dyDescent="0.3">
      <c r="A15" s="20"/>
      <c r="B15" s="20"/>
      <c r="C15" s="20"/>
      <c r="D15" s="20"/>
      <c r="E15" s="20"/>
      <c r="F15" s="20"/>
      <c r="G15" s="20"/>
      <c r="H15" s="20"/>
      <c r="I15" s="20"/>
      <c r="J15" s="20"/>
      <c r="K15" s="20"/>
      <c r="L15" s="20"/>
      <c r="M15" s="45" t="str" cm="1">
        <f t="array" ref="M15:S32">IF(Pivots!A53:G70="","",Pivots!A53:G70)</f>
        <v>Cincinnati</v>
      </c>
      <c r="N15" s="35" t="str">
        <v/>
      </c>
      <c r="O15" s="35" t="str">
        <v/>
      </c>
      <c r="P15" s="35" t="str">
        <v/>
      </c>
      <c r="Q15" s="35" t="str">
        <v/>
      </c>
      <c r="R15" s="35" t="str">
        <v/>
      </c>
      <c r="S15" s="36" t="str">
        <v/>
      </c>
      <c r="T15" s="20"/>
      <c r="U15" s="20"/>
      <c r="V15" s="20"/>
    </row>
    <row r="16" spans="1:22" x14ac:dyDescent="0.3">
      <c r="A16" s="20"/>
      <c r="B16" s="20"/>
      <c r="C16" s="20"/>
      <c r="D16" s="20"/>
      <c r="E16" s="20"/>
      <c r="F16" s="20"/>
      <c r="G16" s="20"/>
      <c r="H16" s="20"/>
      <c r="I16" s="20"/>
      <c r="J16" s="20"/>
      <c r="K16" s="20"/>
      <c r="L16" s="20"/>
      <c r="M16" s="37" t="str">
        <v>C0003</v>
      </c>
      <c r="N16" s="38">
        <v>891</v>
      </c>
      <c r="O16" s="38">
        <v>1332</v>
      </c>
      <c r="P16" s="38">
        <v>1282</v>
      </c>
      <c r="Q16" s="38">
        <v>739</v>
      </c>
      <c r="R16" s="38">
        <v>560</v>
      </c>
      <c r="S16" s="39">
        <v>4804</v>
      </c>
      <c r="T16" s="20"/>
      <c r="U16" s="20"/>
      <c r="V16" s="20"/>
    </row>
    <row r="17" spans="1:22" x14ac:dyDescent="0.3">
      <c r="A17" s="20"/>
      <c r="B17" s="20"/>
      <c r="C17" s="20"/>
      <c r="D17" s="20"/>
      <c r="E17" s="20"/>
      <c r="F17" s="20"/>
      <c r="G17" s="20"/>
      <c r="H17" s="20"/>
      <c r="I17" s="20"/>
      <c r="J17" s="20"/>
      <c r="K17" s="20"/>
      <c r="L17" s="20"/>
      <c r="M17" s="37" t="str">
        <v>C0004</v>
      </c>
      <c r="N17" s="38">
        <v>1991</v>
      </c>
      <c r="O17" s="38">
        <v>1886</v>
      </c>
      <c r="P17" s="38">
        <v>1206</v>
      </c>
      <c r="Q17" s="38">
        <v>884</v>
      </c>
      <c r="R17" s="38">
        <v>1722</v>
      </c>
      <c r="S17" s="39">
        <v>7689</v>
      </c>
      <c r="T17" s="20"/>
      <c r="U17" s="20"/>
      <c r="V17" s="20"/>
    </row>
    <row r="18" spans="1:22" x14ac:dyDescent="0.3">
      <c r="A18" s="20"/>
      <c r="B18" s="20"/>
      <c r="C18" s="20"/>
      <c r="D18" s="20"/>
      <c r="E18" s="20"/>
      <c r="F18" s="20"/>
      <c r="G18" s="20"/>
      <c r="H18" s="20"/>
      <c r="I18" s="20"/>
      <c r="J18" s="20"/>
      <c r="K18" s="20"/>
      <c r="L18" s="20"/>
      <c r="M18" s="37" t="str">
        <v>C0011</v>
      </c>
      <c r="N18" s="38">
        <v>1163</v>
      </c>
      <c r="O18" s="38">
        <v>1180</v>
      </c>
      <c r="P18" s="38">
        <v>1616</v>
      </c>
      <c r="Q18" s="38">
        <v>1043</v>
      </c>
      <c r="R18" s="38">
        <v>1747</v>
      </c>
      <c r="S18" s="39">
        <v>6749</v>
      </c>
      <c r="T18" s="20"/>
      <c r="U18" s="20"/>
      <c r="V18" s="20"/>
    </row>
    <row r="19" spans="1:22" x14ac:dyDescent="0.3">
      <c r="A19" s="20"/>
      <c r="B19" s="20"/>
      <c r="C19" s="20"/>
      <c r="D19" s="20"/>
      <c r="E19" s="20"/>
      <c r="F19" s="20"/>
      <c r="G19" s="20"/>
      <c r="H19" s="20"/>
      <c r="I19" s="20"/>
      <c r="J19" s="20"/>
      <c r="K19" s="20"/>
      <c r="L19" s="20"/>
      <c r="M19" s="37" t="str">
        <v>C0012</v>
      </c>
      <c r="N19" s="38">
        <v>1438</v>
      </c>
      <c r="O19" s="38">
        <v>1616</v>
      </c>
      <c r="P19" s="38">
        <v>866</v>
      </c>
      <c r="Q19" s="38">
        <v>829</v>
      </c>
      <c r="R19" s="38">
        <v>2070</v>
      </c>
      <c r="S19" s="39">
        <v>6819</v>
      </c>
      <c r="T19" s="20"/>
      <c r="U19" s="20"/>
      <c r="V19" s="20"/>
    </row>
    <row r="20" spans="1:22" x14ac:dyDescent="0.3">
      <c r="A20" s="20"/>
      <c r="B20" s="20"/>
      <c r="C20" s="20"/>
      <c r="D20" s="20"/>
      <c r="E20" s="20"/>
      <c r="F20" s="20"/>
      <c r="G20" s="20"/>
      <c r="H20" s="20"/>
      <c r="I20" s="20"/>
      <c r="J20" s="20"/>
      <c r="K20" s="20"/>
      <c r="L20" s="20"/>
      <c r="M20" s="45" t="str">
        <v>Cleveland</v>
      </c>
      <c r="N20" s="38" t="str">
        <v/>
      </c>
      <c r="O20" s="38" t="str">
        <v/>
      </c>
      <c r="P20" s="38" t="str">
        <v/>
      </c>
      <c r="Q20" s="38" t="str">
        <v/>
      </c>
      <c r="R20" s="38" t="str">
        <v/>
      </c>
      <c r="S20" s="39" t="str">
        <v/>
      </c>
      <c r="T20" s="20"/>
      <c r="U20" s="20"/>
      <c r="V20" s="20"/>
    </row>
    <row r="21" spans="1:22" x14ac:dyDescent="0.3">
      <c r="A21" s="20"/>
      <c r="B21" s="20"/>
      <c r="C21" s="20"/>
      <c r="D21" s="20"/>
      <c r="E21" s="20"/>
      <c r="F21" s="20"/>
      <c r="G21" s="20"/>
      <c r="H21" s="20"/>
      <c r="I21" s="20"/>
      <c r="J21" s="20"/>
      <c r="K21" s="20"/>
      <c r="L21" s="20"/>
      <c r="M21" s="37" t="str">
        <v>C0002</v>
      </c>
      <c r="N21" s="38">
        <v>1233</v>
      </c>
      <c r="O21" s="38">
        <v>223</v>
      </c>
      <c r="P21" s="38">
        <v>1680</v>
      </c>
      <c r="Q21" s="38">
        <v>990</v>
      </c>
      <c r="R21" s="38">
        <v>1508</v>
      </c>
      <c r="S21" s="39">
        <v>5634</v>
      </c>
      <c r="T21" s="20"/>
      <c r="U21" s="20"/>
      <c r="V21" s="20"/>
    </row>
    <row r="22" spans="1:22" x14ac:dyDescent="0.3">
      <c r="A22" s="20"/>
      <c r="B22" s="20"/>
      <c r="C22" s="20"/>
      <c r="D22" s="20"/>
      <c r="E22" s="20"/>
      <c r="F22" s="20"/>
      <c r="G22" s="20"/>
      <c r="H22" s="20"/>
      <c r="I22" s="20"/>
      <c r="J22" s="20"/>
      <c r="K22" s="20"/>
      <c r="L22" s="20"/>
      <c r="M22" s="37" t="str">
        <v>C0007</v>
      </c>
      <c r="N22" s="38">
        <v>1598</v>
      </c>
      <c r="O22" s="38">
        <v>1907</v>
      </c>
      <c r="P22" s="38">
        <v>869</v>
      </c>
      <c r="Q22" s="38">
        <v>1426</v>
      </c>
      <c r="R22" s="38">
        <v>1416</v>
      </c>
      <c r="S22" s="39">
        <v>7216</v>
      </c>
      <c r="T22" s="20"/>
      <c r="U22" s="20"/>
      <c r="V22" s="20"/>
    </row>
    <row r="23" spans="1:22" x14ac:dyDescent="0.3">
      <c r="A23" s="20"/>
      <c r="B23" s="20"/>
      <c r="C23" s="20"/>
      <c r="D23" s="20"/>
      <c r="E23" s="20"/>
      <c r="F23" s="20"/>
      <c r="G23" s="20"/>
      <c r="H23" s="20"/>
      <c r="I23" s="20"/>
      <c r="J23" s="20"/>
      <c r="K23" s="20"/>
      <c r="L23" s="20"/>
      <c r="M23" s="37" t="str">
        <v>C0008</v>
      </c>
      <c r="N23" s="38">
        <v>900</v>
      </c>
      <c r="O23" s="38">
        <v>1016</v>
      </c>
      <c r="P23" s="38">
        <v>960</v>
      </c>
      <c r="Q23" s="38">
        <v>940</v>
      </c>
      <c r="R23" s="38">
        <v>1193</v>
      </c>
      <c r="S23" s="39">
        <v>5009</v>
      </c>
      <c r="T23" s="20"/>
      <c r="U23" s="20"/>
      <c r="V23" s="20"/>
    </row>
    <row r="24" spans="1:22" x14ac:dyDescent="0.3">
      <c r="A24" s="20"/>
      <c r="B24" s="20"/>
      <c r="C24" s="20"/>
      <c r="D24" s="20"/>
      <c r="E24" s="20"/>
      <c r="F24" s="20"/>
      <c r="G24" s="20"/>
      <c r="H24" s="20"/>
      <c r="I24" s="20"/>
      <c r="J24" s="20"/>
      <c r="K24" s="20"/>
      <c r="L24" s="20"/>
      <c r="M24" s="37" t="str">
        <v>C0010</v>
      </c>
      <c r="N24" s="38">
        <v>900</v>
      </c>
      <c r="O24" s="38">
        <v>1470</v>
      </c>
      <c r="P24" s="38">
        <v>1617</v>
      </c>
      <c r="Q24" s="38">
        <v>1314</v>
      </c>
      <c r="R24" s="38">
        <v>941</v>
      </c>
      <c r="S24" s="39">
        <v>6242</v>
      </c>
      <c r="T24" s="20"/>
      <c r="U24" s="20"/>
      <c r="V24" s="20"/>
    </row>
    <row r="25" spans="1:22" x14ac:dyDescent="0.3">
      <c r="A25" s="20"/>
      <c r="B25" s="20"/>
      <c r="C25" s="20"/>
      <c r="D25" s="20"/>
      <c r="E25" s="20"/>
      <c r="F25" s="20"/>
      <c r="G25" s="20"/>
      <c r="H25" s="20"/>
      <c r="I25" s="20"/>
      <c r="J25" s="47" t="e" vm="1">
        <f>Pivots!L56</f>
        <v>#VALUE!</v>
      </c>
      <c r="K25" s="47"/>
      <c r="L25" s="48"/>
      <c r="M25" s="37" t="str">
        <v>C0013</v>
      </c>
      <c r="N25" s="38">
        <v>1255</v>
      </c>
      <c r="O25" s="38">
        <v>516</v>
      </c>
      <c r="P25" s="38">
        <v>1874</v>
      </c>
      <c r="Q25" s="38">
        <v>1863</v>
      </c>
      <c r="R25" s="38">
        <v>1722</v>
      </c>
      <c r="S25" s="39">
        <v>7230</v>
      </c>
      <c r="T25" s="20"/>
      <c r="U25" s="20"/>
      <c r="V25" s="20"/>
    </row>
    <row r="26" spans="1:22" x14ac:dyDescent="0.3">
      <c r="A26" s="20"/>
      <c r="B26" s="20"/>
      <c r="C26" s="20"/>
      <c r="D26" s="20"/>
      <c r="E26" s="20"/>
      <c r="F26" s="20"/>
      <c r="G26" s="20"/>
      <c r="H26" s="20"/>
      <c r="I26" s="20"/>
      <c r="J26" s="47"/>
      <c r="K26" s="47"/>
      <c r="L26" s="48"/>
      <c r="M26" s="37" t="str">
        <v>C0015</v>
      </c>
      <c r="N26" s="38">
        <v>1138</v>
      </c>
      <c r="O26" s="38">
        <v>1898</v>
      </c>
      <c r="P26" s="38">
        <v>1482</v>
      </c>
      <c r="Q26" s="38">
        <v>846</v>
      </c>
      <c r="R26" s="38">
        <v>1154</v>
      </c>
      <c r="S26" s="39">
        <v>6518</v>
      </c>
      <c r="T26" s="20"/>
      <c r="U26" s="20"/>
      <c r="V26" s="20"/>
    </row>
    <row r="27" spans="1:22" x14ac:dyDescent="0.3">
      <c r="A27" s="20"/>
      <c r="B27" s="20"/>
      <c r="C27" s="20"/>
      <c r="D27" s="20"/>
      <c r="E27" s="20"/>
      <c r="F27" s="20"/>
      <c r="G27" s="20"/>
      <c r="H27" s="20"/>
      <c r="I27" s="20"/>
      <c r="J27" s="47"/>
      <c r="K27" s="47"/>
      <c r="L27" s="48"/>
      <c r="M27" s="45" t="str">
        <v>Columbus</v>
      </c>
      <c r="N27" s="38" t="str">
        <v/>
      </c>
      <c r="O27" s="38" t="str">
        <v/>
      </c>
      <c r="P27" s="38" t="str">
        <v/>
      </c>
      <c r="Q27" s="38" t="str">
        <v/>
      </c>
      <c r="R27" s="38" t="str">
        <v/>
      </c>
      <c r="S27" s="39" t="str">
        <v/>
      </c>
      <c r="T27" s="20"/>
      <c r="U27" s="20"/>
      <c r="V27" s="20"/>
    </row>
    <row r="28" spans="1:22" x14ac:dyDescent="0.3">
      <c r="A28" s="20"/>
      <c r="B28" s="20"/>
      <c r="C28" s="20"/>
      <c r="D28" s="20"/>
      <c r="E28" s="20"/>
      <c r="F28" s="20"/>
      <c r="G28" s="20"/>
      <c r="H28" s="20"/>
      <c r="I28" s="20"/>
      <c r="J28" s="47"/>
      <c r="K28" s="47"/>
      <c r="L28" s="48"/>
      <c r="M28" s="37" t="str">
        <v>C0001</v>
      </c>
      <c r="N28" s="38">
        <v>1655</v>
      </c>
      <c r="O28" s="38">
        <v>805</v>
      </c>
      <c r="P28" s="38">
        <v>2263</v>
      </c>
      <c r="Q28" s="38">
        <v>987</v>
      </c>
      <c r="R28" s="38">
        <v>1075</v>
      </c>
      <c r="S28" s="39">
        <v>6785</v>
      </c>
      <c r="T28" s="20"/>
      <c r="U28" s="20"/>
      <c r="V28" s="20"/>
    </row>
    <row r="29" spans="1:22" x14ac:dyDescent="0.3">
      <c r="A29" s="20"/>
      <c r="B29" s="20"/>
      <c r="C29" s="20"/>
      <c r="D29" s="20"/>
      <c r="E29" s="20"/>
      <c r="F29" s="20"/>
      <c r="G29" s="20"/>
      <c r="H29" s="20"/>
      <c r="I29" s="20"/>
      <c r="J29" s="20"/>
      <c r="K29" s="49" t="str">
        <f>Pivots!L52</f>
        <v>% of Calls:19%</v>
      </c>
      <c r="L29" s="50"/>
      <c r="M29" s="37" t="str">
        <v>C0005</v>
      </c>
      <c r="N29" s="38">
        <v>1104</v>
      </c>
      <c r="O29" s="38">
        <v>2280</v>
      </c>
      <c r="P29" s="38">
        <v>1445</v>
      </c>
      <c r="Q29" s="38">
        <v>1722</v>
      </c>
      <c r="R29" s="38">
        <v>1196</v>
      </c>
      <c r="S29" s="39">
        <v>7747</v>
      </c>
      <c r="T29" s="20"/>
      <c r="U29" s="20"/>
      <c r="V29" s="20"/>
    </row>
    <row r="30" spans="1:22" x14ac:dyDescent="0.3">
      <c r="A30" s="20"/>
      <c r="B30" s="20"/>
      <c r="C30" s="20"/>
      <c r="D30" s="20"/>
      <c r="E30" s="20"/>
      <c r="F30" s="20"/>
      <c r="G30" s="20"/>
      <c r="H30" s="20"/>
      <c r="I30" s="20"/>
      <c r="J30" s="20"/>
      <c r="K30" s="49" t="str">
        <f>Pivots!L53</f>
        <v>Call Rank:4</v>
      </c>
      <c r="L30" s="50"/>
      <c r="M30" s="37" t="str">
        <v>C0006</v>
      </c>
      <c r="N30" s="38">
        <v>372</v>
      </c>
      <c r="O30" s="38">
        <v>1818</v>
      </c>
      <c r="P30" s="38">
        <v>1346</v>
      </c>
      <c r="Q30" s="38">
        <v>1156</v>
      </c>
      <c r="R30" s="38">
        <v>1484</v>
      </c>
      <c r="S30" s="39">
        <v>6176</v>
      </c>
      <c r="T30" s="20"/>
      <c r="U30" s="20"/>
      <c r="V30" s="20"/>
    </row>
    <row r="31" spans="1:22" x14ac:dyDescent="0.3">
      <c r="A31" s="20"/>
      <c r="B31" s="20"/>
      <c r="C31" s="20"/>
      <c r="D31" s="20"/>
      <c r="E31" s="20"/>
      <c r="F31" s="20"/>
      <c r="G31" s="20"/>
      <c r="H31" s="20"/>
      <c r="I31" s="20"/>
      <c r="J31" s="20"/>
      <c r="K31" s="49" t="str">
        <f>Pivots!L54</f>
        <v>Amount Rank:4</v>
      </c>
      <c r="L31" s="50"/>
      <c r="M31" s="37" t="str">
        <v>C0009</v>
      </c>
      <c r="N31" s="38">
        <v>1415</v>
      </c>
      <c r="O31" s="38">
        <v>1271</v>
      </c>
      <c r="P31" s="38">
        <v>1214</v>
      </c>
      <c r="Q31" s="38">
        <v>1135</v>
      </c>
      <c r="R31" s="38">
        <v>1566</v>
      </c>
      <c r="S31" s="39">
        <v>6601</v>
      </c>
      <c r="T31" s="20"/>
      <c r="U31" s="20"/>
      <c r="V31" s="20"/>
    </row>
    <row r="32" spans="1:22" x14ac:dyDescent="0.3">
      <c r="A32" s="20"/>
      <c r="B32" s="20"/>
      <c r="C32" s="20"/>
      <c r="D32" s="20"/>
      <c r="E32" s="20"/>
      <c r="F32" s="20"/>
      <c r="G32" s="20"/>
      <c r="H32" s="20"/>
      <c r="I32" s="20"/>
      <c r="J32" s="20"/>
      <c r="K32" s="20"/>
      <c r="L32" s="20"/>
      <c r="M32" s="40" t="str">
        <v>C0014</v>
      </c>
      <c r="N32" s="41">
        <v>1362</v>
      </c>
      <c r="O32" s="41">
        <v>1363</v>
      </c>
      <c r="P32" s="41">
        <v>1152</v>
      </c>
      <c r="Q32" s="41">
        <v>777</v>
      </c>
      <c r="R32" s="41">
        <v>750</v>
      </c>
      <c r="S32" s="42">
        <v>5404</v>
      </c>
      <c r="T32" s="20"/>
      <c r="U32" s="20"/>
      <c r="V32" s="20"/>
    </row>
    <row r="33" spans="1:22" x14ac:dyDescent="0.3">
      <c r="A33" s="20"/>
      <c r="B33" s="20"/>
      <c r="C33" s="20"/>
      <c r="D33" s="20"/>
      <c r="E33" s="20"/>
      <c r="F33" s="20"/>
      <c r="G33" s="20"/>
      <c r="H33" s="20"/>
      <c r="I33" s="20"/>
      <c r="J33" s="20"/>
      <c r="K33" s="20"/>
      <c r="L33" s="20"/>
      <c r="M33" s="20"/>
      <c r="N33" s="20"/>
      <c r="O33" s="20"/>
      <c r="P33" s="20"/>
      <c r="Q33" s="20"/>
      <c r="R33" s="20"/>
      <c r="S33" s="20"/>
      <c r="T33" s="20"/>
      <c r="U33" s="20"/>
      <c r="V33" s="20"/>
    </row>
    <row r="34" spans="1:22" x14ac:dyDescent="0.3">
      <c r="A34" s="20"/>
      <c r="B34" s="20"/>
      <c r="C34" s="20"/>
      <c r="D34" s="20"/>
      <c r="E34" s="20"/>
      <c r="F34" s="20"/>
      <c r="G34" s="20"/>
      <c r="H34" s="20"/>
      <c r="I34" s="20"/>
      <c r="J34" s="20"/>
      <c r="K34" s="20"/>
      <c r="L34" s="20"/>
      <c r="M34" s="20"/>
      <c r="N34" s="20"/>
      <c r="O34" s="20"/>
      <c r="P34" s="20"/>
      <c r="Q34" s="20"/>
      <c r="R34" s="20"/>
      <c r="S34" s="20"/>
      <c r="T34" s="20"/>
      <c r="U34" s="20"/>
      <c r="V34" s="20"/>
    </row>
    <row r="35" spans="1:22" x14ac:dyDescent="0.3">
      <c r="A35" s="20"/>
      <c r="B35" s="20"/>
      <c r="C35" s="20"/>
      <c r="D35" s="20"/>
      <c r="E35" s="20"/>
      <c r="F35" s="20"/>
      <c r="G35" s="20"/>
      <c r="H35" s="20"/>
      <c r="I35" s="20"/>
      <c r="J35" s="20"/>
      <c r="K35" s="20"/>
      <c r="L35" s="20"/>
      <c r="M35" s="20"/>
      <c r="N35" s="20"/>
      <c r="O35" s="20"/>
      <c r="P35" s="20"/>
      <c r="Q35" s="20"/>
      <c r="R35" s="20"/>
      <c r="S35" s="20"/>
      <c r="T35" s="20"/>
      <c r="U35" s="20"/>
      <c r="V35" s="20"/>
    </row>
    <row r="36" spans="1:22" x14ac:dyDescent="0.3">
      <c r="A36" s="20"/>
      <c r="B36" s="20"/>
      <c r="C36" s="20"/>
      <c r="D36" s="20"/>
      <c r="E36" s="20"/>
      <c r="F36" s="20"/>
      <c r="G36" s="20"/>
      <c r="H36" s="20"/>
      <c r="I36" s="20"/>
      <c r="J36" s="20"/>
      <c r="K36" s="20"/>
      <c r="L36" s="20"/>
      <c r="M36" s="20"/>
      <c r="N36" s="20"/>
      <c r="O36" s="20"/>
      <c r="P36" s="20"/>
      <c r="Q36" s="20"/>
      <c r="R36" s="20"/>
      <c r="S36" s="20"/>
      <c r="T36" s="20"/>
      <c r="U36" s="20"/>
      <c r="V36" s="20"/>
    </row>
    <row r="37" spans="1:22" x14ac:dyDescent="0.3">
      <c r="A37" s="20"/>
      <c r="B37" s="20"/>
      <c r="C37" s="20"/>
      <c r="D37" s="20"/>
      <c r="E37" s="20"/>
      <c r="F37" s="20"/>
      <c r="G37" s="20"/>
      <c r="H37" s="20"/>
      <c r="I37" s="20"/>
      <c r="J37" s="20"/>
      <c r="K37" s="20"/>
      <c r="L37" s="20"/>
      <c r="M37" s="20"/>
      <c r="N37" s="20"/>
      <c r="O37" s="20"/>
      <c r="P37" s="20"/>
      <c r="Q37" s="20"/>
      <c r="R37" s="20"/>
      <c r="S37" s="20"/>
      <c r="T37" s="20"/>
      <c r="U37" s="20"/>
      <c r="V37" s="20"/>
    </row>
    <row r="38" spans="1:22" x14ac:dyDescent="0.3">
      <c r="A38" s="20"/>
      <c r="B38" s="20"/>
      <c r="C38" s="20"/>
      <c r="D38" s="20"/>
      <c r="E38" s="20"/>
      <c r="F38" s="20"/>
      <c r="G38" s="20"/>
      <c r="H38" s="20"/>
      <c r="I38" s="20"/>
      <c r="J38" s="20"/>
      <c r="K38" s="20"/>
      <c r="L38" s="20"/>
      <c r="M38" s="20"/>
      <c r="N38" s="20"/>
      <c r="O38" s="20"/>
      <c r="P38" s="20"/>
      <c r="Q38" s="20"/>
      <c r="R38" s="20"/>
      <c r="S38" s="20"/>
      <c r="T38" s="20"/>
      <c r="U38" s="20"/>
      <c r="V38" s="20"/>
    </row>
    <row r="39" spans="1:22" x14ac:dyDescent="0.3">
      <c r="A39" s="20"/>
      <c r="B39" s="20"/>
      <c r="C39" s="20"/>
      <c r="D39" s="20"/>
      <c r="E39" s="20"/>
      <c r="F39" s="20"/>
      <c r="G39" s="20"/>
      <c r="H39" s="20"/>
      <c r="I39" s="20"/>
      <c r="J39" s="20"/>
      <c r="K39" s="20"/>
      <c r="L39" s="20"/>
      <c r="M39" s="20"/>
      <c r="N39" s="20"/>
      <c r="O39" s="20"/>
      <c r="P39" s="20"/>
      <c r="Q39" s="20"/>
      <c r="R39" s="20"/>
      <c r="S39" s="20"/>
      <c r="T39" s="20"/>
      <c r="U39" s="20"/>
      <c r="V39" s="20"/>
    </row>
    <row r="40" spans="1:22" x14ac:dyDescent="0.3">
      <c r="A40" s="20"/>
      <c r="B40" s="20"/>
      <c r="C40" s="20"/>
      <c r="D40" s="20"/>
      <c r="E40" s="20"/>
      <c r="F40" s="20"/>
      <c r="G40" s="20"/>
      <c r="H40" s="20"/>
      <c r="I40" s="20"/>
      <c r="J40" s="20"/>
      <c r="K40" s="20"/>
      <c r="L40" s="20"/>
      <c r="M40" s="20"/>
      <c r="N40" s="20"/>
      <c r="O40" s="20"/>
      <c r="P40" s="20"/>
      <c r="Q40" s="20"/>
      <c r="R40" s="20"/>
      <c r="S40" s="20"/>
      <c r="T40" s="20"/>
      <c r="U40" s="20"/>
      <c r="V40" s="20"/>
    </row>
    <row r="41" spans="1:22" x14ac:dyDescent="0.3">
      <c r="A41" s="20"/>
      <c r="B41" s="20"/>
      <c r="C41" s="20"/>
      <c r="D41" s="20"/>
      <c r="E41" s="20"/>
      <c r="F41" s="20"/>
      <c r="G41" s="20"/>
      <c r="H41" s="20"/>
      <c r="I41" s="20"/>
      <c r="J41" s="20"/>
      <c r="K41" s="20"/>
      <c r="L41" s="20"/>
      <c r="M41" s="20"/>
      <c r="N41" s="20"/>
      <c r="O41" s="20"/>
      <c r="P41" s="20"/>
      <c r="Q41" s="20"/>
      <c r="R41" s="20"/>
      <c r="S41" s="20"/>
      <c r="T41" s="20"/>
      <c r="U41" s="20"/>
      <c r="V41" s="20"/>
    </row>
    <row r="42" spans="1:22" x14ac:dyDescent="0.3">
      <c r="A42" s="20"/>
      <c r="B42" s="20"/>
      <c r="C42" s="20"/>
      <c r="D42" s="20"/>
      <c r="E42" s="20"/>
      <c r="F42" s="20"/>
      <c r="G42" s="20"/>
      <c r="H42" s="20"/>
      <c r="I42" s="20"/>
      <c r="J42" s="20"/>
      <c r="K42" s="20"/>
      <c r="L42" s="20"/>
      <c r="M42" s="20"/>
      <c r="N42" s="20"/>
      <c r="O42" s="20"/>
      <c r="P42" s="20"/>
      <c r="Q42" s="20"/>
      <c r="R42" s="20"/>
      <c r="S42" s="20"/>
      <c r="T42" s="20"/>
      <c r="U42" s="20"/>
      <c r="V42" s="20"/>
    </row>
    <row r="43" spans="1:22" x14ac:dyDescent="0.3">
      <c r="A43" s="20"/>
      <c r="B43" s="20"/>
      <c r="C43" s="20"/>
      <c r="D43" s="20"/>
      <c r="E43" s="20"/>
      <c r="F43" s="20"/>
      <c r="G43" s="20"/>
      <c r="H43" s="20"/>
      <c r="I43" s="20"/>
      <c r="J43" s="20"/>
      <c r="K43" s="20"/>
      <c r="L43" s="20"/>
      <c r="M43" s="20"/>
      <c r="N43" s="20"/>
      <c r="O43" s="20"/>
      <c r="P43" s="20"/>
      <c r="Q43" s="20"/>
      <c r="R43" s="20"/>
      <c r="S43" s="20"/>
      <c r="T43" s="20"/>
      <c r="U43" s="20"/>
      <c r="V43" s="20"/>
    </row>
    <row r="44" spans="1:22" x14ac:dyDescent="0.3">
      <c r="A44" s="20"/>
      <c r="B44" s="20"/>
      <c r="C44" s="20"/>
      <c r="D44" s="20"/>
      <c r="E44" s="20"/>
      <c r="F44" s="20"/>
      <c r="G44" s="20"/>
      <c r="H44" s="20"/>
      <c r="I44" s="20"/>
      <c r="J44" s="20"/>
      <c r="K44" s="20"/>
      <c r="L44" s="20"/>
      <c r="M44" s="20"/>
      <c r="N44" s="20"/>
      <c r="O44" s="20"/>
      <c r="P44" s="20"/>
      <c r="Q44" s="20"/>
      <c r="R44" s="20"/>
      <c r="S44" s="20"/>
      <c r="T44" s="20"/>
      <c r="U44" s="20"/>
      <c r="V44" s="20"/>
    </row>
    <row r="45" spans="1:22" x14ac:dyDescent="0.3">
      <c r="A45" s="20"/>
      <c r="B45" s="20"/>
      <c r="C45" s="20"/>
      <c r="D45" s="20"/>
      <c r="E45" s="20"/>
      <c r="F45" s="20"/>
      <c r="G45" s="20"/>
      <c r="H45" s="20"/>
      <c r="I45" s="20"/>
      <c r="J45" s="20"/>
      <c r="K45" s="20"/>
      <c r="L45" s="20"/>
      <c r="M45" s="20"/>
      <c r="N45" s="20"/>
      <c r="O45" s="20"/>
      <c r="P45" s="20"/>
      <c r="Q45" s="20"/>
      <c r="R45" s="20"/>
      <c r="S45" s="20"/>
      <c r="T45" s="20"/>
      <c r="U45" s="20"/>
      <c r="V45" s="20"/>
    </row>
    <row r="46" spans="1:22" x14ac:dyDescent="0.3">
      <c r="A46" s="20"/>
      <c r="B46" s="20"/>
      <c r="C46" s="20"/>
      <c r="D46" s="20"/>
      <c r="E46" s="20"/>
      <c r="F46" s="20"/>
      <c r="G46" s="20"/>
      <c r="H46" s="20"/>
      <c r="I46" s="20"/>
      <c r="J46" s="20"/>
      <c r="K46" s="20"/>
      <c r="L46" s="20"/>
      <c r="M46" s="20"/>
      <c r="N46" s="20"/>
      <c r="O46" s="20"/>
      <c r="P46" s="20"/>
      <c r="Q46" s="20"/>
      <c r="R46" s="20"/>
      <c r="S46" s="20"/>
      <c r="T46" s="20"/>
      <c r="U46" s="20"/>
      <c r="V46" s="20"/>
    </row>
    <row r="47" spans="1:22" x14ac:dyDescent="0.3">
      <c r="A47" s="20"/>
      <c r="B47" s="20"/>
      <c r="C47" s="20"/>
      <c r="D47" s="20"/>
      <c r="E47" s="20"/>
      <c r="F47" s="20"/>
      <c r="G47" s="20"/>
      <c r="H47" s="20"/>
      <c r="I47" s="20"/>
      <c r="J47" s="20"/>
      <c r="K47" s="20"/>
      <c r="L47" s="20"/>
      <c r="M47" s="20"/>
      <c r="N47" s="20"/>
      <c r="O47" s="20"/>
      <c r="P47" s="20"/>
      <c r="Q47" s="20"/>
      <c r="R47" s="20"/>
      <c r="S47" s="20"/>
      <c r="T47" s="20"/>
      <c r="U47" s="20"/>
      <c r="V47" s="20"/>
    </row>
    <row r="48" spans="1:22" x14ac:dyDescent="0.3">
      <c r="A48" s="20"/>
      <c r="B48" s="20"/>
      <c r="C48" s="20"/>
      <c r="D48" s="20"/>
      <c r="E48" s="20"/>
      <c r="F48" s="20"/>
      <c r="G48" s="20"/>
      <c r="H48" s="20"/>
      <c r="I48" s="20"/>
      <c r="J48" s="20"/>
      <c r="K48" s="20"/>
      <c r="L48" s="20"/>
      <c r="M48" s="20"/>
      <c r="N48" s="20"/>
      <c r="O48" s="20"/>
      <c r="P48" s="20"/>
      <c r="Q48" s="20"/>
      <c r="R48" s="20"/>
      <c r="S48" s="20"/>
      <c r="T48" s="20"/>
      <c r="U48" s="20"/>
      <c r="V48" s="20"/>
    </row>
    <row r="49" spans="1:22" x14ac:dyDescent="0.3">
      <c r="A49" s="20"/>
      <c r="B49" s="20"/>
      <c r="C49" s="20"/>
      <c r="D49" s="20"/>
      <c r="E49" s="20"/>
      <c r="F49" s="20"/>
      <c r="G49" s="20"/>
      <c r="H49" s="20"/>
      <c r="I49" s="20"/>
      <c r="J49" s="20"/>
      <c r="K49" s="20"/>
      <c r="L49" s="20"/>
      <c r="M49" s="20"/>
      <c r="N49" s="20"/>
      <c r="O49" s="20"/>
      <c r="P49" s="20"/>
      <c r="Q49" s="20"/>
      <c r="R49" s="20"/>
      <c r="S49" s="20"/>
      <c r="T49" s="20"/>
      <c r="U49" s="20"/>
      <c r="V49" s="20"/>
    </row>
    <row r="50" spans="1:22" x14ac:dyDescent="0.3">
      <c r="A50" s="20"/>
      <c r="B50" s="20"/>
      <c r="C50" s="20"/>
      <c r="D50" s="20"/>
      <c r="E50" s="20"/>
      <c r="F50" s="20"/>
      <c r="G50" s="20"/>
      <c r="H50" s="20"/>
      <c r="I50" s="20"/>
      <c r="J50" s="20"/>
      <c r="K50" s="20"/>
      <c r="L50" s="20"/>
      <c r="M50" s="20"/>
      <c r="N50" s="20"/>
      <c r="O50" s="20"/>
      <c r="P50" s="20"/>
      <c r="Q50" s="20"/>
      <c r="R50" s="20"/>
      <c r="S50" s="20"/>
      <c r="T50" s="20"/>
      <c r="U50" s="20"/>
      <c r="V50" s="20"/>
    </row>
    <row r="51" spans="1:22" x14ac:dyDescent="0.3">
      <c r="A51" s="20"/>
      <c r="B51" s="20"/>
      <c r="C51" s="20"/>
      <c r="D51" s="20"/>
      <c r="E51" s="20"/>
      <c r="F51" s="20"/>
      <c r="G51" s="20"/>
      <c r="H51" s="20"/>
      <c r="I51" s="20"/>
      <c r="J51" s="20"/>
      <c r="K51" s="20"/>
      <c r="L51" s="20"/>
      <c r="M51" s="20"/>
      <c r="N51" s="20"/>
      <c r="O51" s="20"/>
      <c r="P51" s="20"/>
      <c r="Q51" s="20"/>
      <c r="R51" s="20"/>
      <c r="S51" s="20"/>
      <c r="T51" s="20"/>
      <c r="U51" s="20"/>
      <c r="V51" s="20"/>
    </row>
    <row r="52" spans="1:22" x14ac:dyDescent="0.3">
      <c r="A52" s="20"/>
      <c r="B52" s="20"/>
      <c r="C52" s="20"/>
      <c r="D52" s="20"/>
      <c r="E52" s="20"/>
      <c r="F52" s="20"/>
      <c r="G52" s="20"/>
      <c r="H52" s="20"/>
      <c r="I52" s="20"/>
      <c r="J52" s="20"/>
      <c r="K52" s="20"/>
      <c r="L52" s="20"/>
      <c r="M52" s="20"/>
      <c r="N52" s="20"/>
      <c r="O52" s="20"/>
      <c r="P52" s="20"/>
      <c r="Q52" s="20"/>
      <c r="R52" s="20"/>
      <c r="S52" s="20"/>
      <c r="T52" s="20"/>
      <c r="U52" s="20"/>
      <c r="V52" s="20"/>
    </row>
    <row r="53" spans="1:22" x14ac:dyDescent="0.3">
      <c r="A53" s="20"/>
      <c r="B53" s="20"/>
      <c r="C53" s="20"/>
      <c r="D53" s="20"/>
      <c r="E53" s="20"/>
      <c r="F53" s="20"/>
      <c r="G53" s="20"/>
      <c r="H53" s="20"/>
      <c r="I53" s="20"/>
      <c r="J53" s="20"/>
      <c r="K53" s="20"/>
      <c r="L53" s="20"/>
      <c r="M53" s="20"/>
      <c r="N53" s="20"/>
      <c r="O53" s="20"/>
      <c r="P53" s="20"/>
      <c r="Q53" s="20"/>
      <c r="R53" s="20"/>
      <c r="S53" s="20"/>
      <c r="T53" s="20"/>
      <c r="U53" s="20"/>
      <c r="V53" s="20"/>
    </row>
    <row r="54" spans="1:22" x14ac:dyDescent="0.3">
      <c r="A54" s="20"/>
      <c r="B54" s="20"/>
      <c r="C54" s="20"/>
      <c r="D54" s="20"/>
      <c r="E54" s="20"/>
      <c r="F54" s="20"/>
      <c r="G54" s="20"/>
      <c r="H54" s="20"/>
      <c r="I54" s="20"/>
      <c r="J54" s="20"/>
      <c r="K54" s="20"/>
      <c r="L54" s="20"/>
      <c r="M54" s="20"/>
      <c r="N54" s="20"/>
      <c r="O54" s="20"/>
      <c r="P54" s="20"/>
      <c r="Q54" s="20"/>
      <c r="R54" s="20"/>
      <c r="S54" s="20"/>
      <c r="T54" s="20"/>
      <c r="U54" s="20"/>
      <c r="V54" s="20"/>
    </row>
    <row r="55" spans="1:22" x14ac:dyDescent="0.3">
      <c r="A55" s="20"/>
      <c r="B55" s="20"/>
      <c r="C55" s="20"/>
      <c r="D55" s="20"/>
      <c r="E55" s="20"/>
      <c r="F55" s="20"/>
      <c r="G55" s="20"/>
      <c r="H55" s="20"/>
      <c r="I55" s="20"/>
      <c r="J55" s="20"/>
      <c r="K55" s="20"/>
      <c r="L55" s="20"/>
      <c r="M55" s="20"/>
      <c r="N55" s="20"/>
      <c r="O55" s="20"/>
      <c r="P55" s="20"/>
      <c r="Q55" s="20"/>
      <c r="R55" s="20"/>
      <c r="S55" s="20"/>
      <c r="T55" s="20"/>
      <c r="U55" s="20"/>
      <c r="V55" s="20"/>
    </row>
    <row r="56" spans="1:22" x14ac:dyDescent="0.3">
      <c r="A56" s="20"/>
      <c r="B56" s="20"/>
      <c r="C56" s="20"/>
      <c r="D56" s="20"/>
      <c r="E56" s="20"/>
      <c r="F56" s="20"/>
      <c r="G56" s="20"/>
      <c r="H56" s="20"/>
      <c r="I56" s="20"/>
      <c r="J56" s="20"/>
      <c r="K56" s="20"/>
      <c r="L56" s="20"/>
      <c r="M56" s="20"/>
      <c r="N56" s="20"/>
      <c r="O56" s="20"/>
      <c r="P56" s="20"/>
      <c r="Q56" s="20"/>
      <c r="R56" s="20"/>
      <c r="S56" s="20"/>
      <c r="T56" s="20"/>
      <c r="U56" s="20"/>
      <c r="V56" s="20"/>
    </row>
    <row r="57" spans="1:22" x14ac:dyDescent="0.3">
      <c r="A57" s="20"/>
      <c r="B57" s="20"/>
      <c r="C57" s="20"/>
      <c r="D57" s="20"/>
      <c r="E57" s="20"/>
      <c r="F57" s="20"/>
      <c r="G57" s="20"/>
      <c r="H57" s="20"/>
      <c r="I57" s="20"/>
      <c r="J57" s="20"/>
      <c r="K57" s="20"/>
      <c r="L57" s="20"/>
      <c r="M57" s="20"/>
      <c r="N57" s="20"/>
      <c r="O57" s="20"/>
      <c r="P57" s="20"/>
      <c r="Q57" s="20"/>
      <c r="R57" s="20"/>
      <c r="S57" s="20"/>
      <c r="T57" s="20"/>
      <c r="U57" s="20"/>
      <c r="V57" s="20"/>
    </row>
    <row r="58" spans="1:22" x14ac:dyDescent="0.3">
      <c r="A58" s="20"/>
      <c r="B58" s="20"/>
      <c r="C58" s="20"/>
      <c r="D58" s="20"/>
      <c r="E58" s="20"/>
      <c r="F58" s="20"/>
      <c r="G58" s="20"/>
      <c r="H58" s="20"/>
      <c r="I58" s="20"/>
      <c r="J58" s="20"/>
      <c r="K58" s="20"/>
      <c r="L58" s="20"/>
      <c r="M58" s="20"/>
      <c r="N58" s="20"/>
      <c r="O58" s="20"/>
      <c r="P58" s="20"/>
      <c r="Q58" s="20"/>
      <c r="R58" s="20"/>
      <c r="S58" s="20"/>
      <c r="T58" s="20"/>
      <c r="U58" s="20"/>
      <c r="V58" s="20"/>
    </row>
    <row r="59" spans="1:22" x14ac:dyDescent="0.3">
      <c r="A59" s="20"/>
      <c r="B59" s="20"/>
      <c r="C59" s="20"/>
      <c r="D59" s="20"/>
      <c r="E59" s="20"/>
      <c r="F59" s="20"/>
      <c r="G59" s="20"/>
      <c r="H59" s="20"/>
      <c r="I59" s="20"/>
      <c r="J59" s="20"/>
      <c r="K59" s="20"/>
      <c r="L59" s="20"/>
      <c r="M59" s="20"/>
      <c r="N59" s="20"/>
      <c r="O59" s="20"/>
      <c r="P59" s="20"/>
      <c r="Q59" s="20"/>
      <c r="R59" s="20"/>
      <c r="S59" s="20"/>
      <c r="T59" s="20"/>
      <c r="U59" s="20"/>
      <c r="V59" s="20"/>
    </row>
    <row r="60" spans="1:22" x14ac:dyDescent="0.3">
      <c r="A60" s="20"/>
      <c r="B60" s="20"/>
      <c r="C60" s="20"/>
      <c r="D60" s="20"/>
      <c r="E60" s="20"/>
      <c r="F60" s="20"/>
      <c r="G60" s="20"/>
      <c r="H60" s="20"/>
      <c r="I60" s="20"/>
      <c r="J60" s="20"/>
      <c r="K60" s="20"/>
      <c r="L60" s="20"/>
      <c r="M60" s="20"/>
      <c r="N60" s="20"/>
      <c r="O60" s="20"/>
      <c r="P60" s="20"/>
      <c r="Q60" s="20"/>
      <c r="R60" s="20"/>
      <c r="S60" s="20"/>
      <c r="T60" s="20"/>
      <c r="U60" s="20"/>
      <c r="V60" s="20"/>
    </row>
    <row r="61" spans="1:22" x14ac:dyDescent="0.3">
      <c r="A61" s="20"/>
      <c r="B61" s="20"/>
      <c r="C61" s="20"/>
      <c r="D61" s="20"/>
      <c r="E61" s="20"/>
      <c r="F61" s="20"/>
      <c r="G61" s="20"/>
      <c r="H61" s="20"/>
      <c r="I61" s="20"/>
      <c r="J61" s="20"/>
      <c r="K61" s="20"/>
      <c r="L61" s="20"/>
      <c r="M61" s="20"/>
      <c r="N61" s="20"/>
      <c r="O61" s="20"/>
      <c r="P61" s="20"/>
      <c r="Q61" s="20"/>
      <c r="R61" s="20"/>
      <c r="S61" s="20"/>
      <c r="T61" s="20"/>
      <c r="U61" s="20"/>
      <c r="V61" s="20"/>
    </row>
    <row r="62" spans="1:22" x14ac:dyDescent="0.3">
      <c r="A62" s="20"/>
      <c r="B62" s="20"/>
      <c r="C62" s="20"/>
      <c r="D62" s="20"/>
      <c r="E62" s="20"/>
      <c r="F62" s="20"/>
      <c r="G62" s="20"/>
      <c r="H62" s="20"/>
      <c r="I62" s="20"/>
      <c r="J62" s="20"/>
      <c r="K62" s="20"/>
      <c r="L62" s="20"/>
      <c r="M62" s="20"/>
      <c r="N62" s="20"/>
      <c r="O62" s="20"/>
      <c r="P62" s="20"/>
      <c r="Q62" s="20"/>
      <c r="R62" s="20"/>
      <c r="S62" s="20"/>
      <c r="T62" s="20"/>
      <c r="U62" s="20"/>
      <c r="V62" s="20"/>
    </row>
    <row r="63" spans="1:22" x14ac:dyDescent="0.3">
      <c r="A63" s="20"/>
      <c r="B63" s="20"/>
      <c r="C63" s="20"/>
      <c r="D63" s="20"/>
      <c r="E63" s="20"/>
      <c r="F63" s="20"/>
      <c r="G63" s="20"/>
      <c r="H63" s="20"/>
      <c r="I63" s="20"/>
      <c r="J63" s="20"/>
      <c r="K63" s="20"/>
      <c r="L63" s="20"/>
      <c r="M63" s="20"/>
      <c r="N63" s="20"/>
      <c r="O63" s="20"/>
      <c r="P63" s="20"/>
      <c r="Q63" s="20"/>
      <c r="R63" s="20"/>
      <c r="S63" s="20"/>
      <c r="T63" s="20"/>
      <c r="U63" s="20"/>
      <c r="V63" s="20"/>
    </row>
    <row r="64" spans="1:22" x14ac:dyDescent="0.3">
      <c r="A64" s="20"/>
      <c r="B64" s="20"/>
      <c r="C64" s="20"/>
      <c r="D64" s="20"/>
      <c r="E64" s="20"/>
      <c r="F64" s="20"/>
      <c r="G64" s="20"/>
      <c r="H64" s="20"/>
      <c r="I64" s="20"/>
      <c r="J64" s="20"/>
      <c r="K64" s="20"/>
      <c r="L64" s="20"/>
      <c r="M64" s="20"/>
      <c r="N64" s="20"/>
      <c r="O64" s="20"/>
      <c r="P64" s="20"/>
      <c r="Q64" s="20"/>
      <c r="R64" s="20"/>
      <c r="S64" s="20"/>
      <c r="T64" s="20"/>
      <c r="U64" s="20"/>
      <c r="V64" s="20"/>
    </row>
    <row r="65" spans="1:22" x14ac:dyDescent="0.3">
      <c r="A65" s="20"/>
      <c r="B65" s="20"/>
      <c r="C65" s="20"/>
      <c r="D65" s="20"/>
      <c r="E65" s="20"/>
      <c r="F65" s="20"/>
      <c r="G65" s="20"/>
      <c r="H65" s="20"/>
      <c r="I65" s="20"/>
      <c r="J65" s="20"/>
      <c r="K65" s="20"/>
      <c r="L65" s="20"/>
      <c r="M65" s="20"/>
      <c r="N65" s="20"/>
      <c r="O65" s="20"/>
      <c r="P65" s="20"/>
      <c r="Q65" s="20"/>
      <c r="R65" s="20"/>
      <c r="S65" s="20"/>
      <c r="T65" s="20"/>
      <c r="U65" s="20"/>
      <c r="V65" s="20"/>
    </row>
    <row r="66" spans="1:22" x14ac:dyDescent="0.3">
      <c r="A66" s="20"/>
      <c r="B66" s="20"/>
      <c r="C66" s="20"/>
      <c r="D66" s="20"/>
      <c r="E66" s="20"/>
      <c r="F66" s="20"/>
      <c r="G66" s="20"/>
      <c r="H66" s="20"/>
      <c r="I66" s="20"/>
      <c r="J66" s="20"/>
      <c r="K66" s="20"/>
      <c r="L66" s="20"/>
      <c r="M66" s="20"/>
      <c r="N66" s="20"/>
      <c r="O66" s="20"/>
      <c r="P66" s="20"/>
      <c r="Q66" s="20"/>
      <c r="R66" s="20"/>
      <c r="S66" s="20"/>
      <c r="T66" s="20"/>
      <c r="U66" s="20"/>
      <c r="V66" s="20"/>
    </row>
    <row r="67" spans="1:22" x14ac:dyDescent="0.3">
      <c r="A67" s="20"/>
      <c r="B67" s="20"/>
      <c r="C67" s="20"/>
      <c r="D67" s="20"/>
      <c r="E67" s="20"/>
      <c r="F67" s="20"/>
      <c r="G67" s="20"/>
      <c r="H67" s="20"/>
      <c r="I67" s="20"/>
      <c r="J67" s="20"/>
      <c r="K67" s="20"/>
      <c r="L67" s="20"/>
      <c r="M67" s="20"/>
      <c r="N67" s="20"/>
      <c r="O67" s="20"/>
      <c r="P67" s="20"/>
      <c r="Q67" s="20"/>
      <c r="R67" s="20"/>
      <c r="S67" s="20"/>
      <c r="T67" s="20"/>
      <c r="U67" s="20"/>
      <c r="V67" s="20"/>
    </row>
    <row r="68" spans="1:22" x14ac:dyDescent="0.3">
      <c r="A68" s="20"/>
      <c r="B68" s="20"/>
      <c r="C68" s="20"/>
      <c r="D68" s="20"/>
      <c r="E68" s="20"/>
      <c r="F68" s="20"/>
      <c r="G68" s="20"/>
      <c r="H68" s="20"/>
      <c r="I68" s="20"/>
      <c r="J68" s="20"/>
      <c r="K68" s="20"/>
      <c r="L68" s="20"/>
      <c r="M68" s="20"/>
      <c r="N68" s="20"/>
      <c r="O68" s="20"/>
      <c r="P68" s="20"/>
      <c r="Q68" s="20"/>
      <c r="R68" s="20"/>
      <c r="S68" s="20"/>
      <c r="T68" s="20"/>
      <c r="U68" s="20"/>
      <c r="V68" s="20"/>
    </row>
    <row r="69" spans="1:22" x14ac:dyDescent="0.3">
      <c r="A69" s="20"/>
      <c r="B69" s="20"/>
      <c r="C69" s="20"/>
      <c r="D69" s="20"/>
      <c r="E69" s="20"/>
      <c r="F69" s="20"/>
      <c r="G69" s="20"/>
      <c r="H69" s="20"/>
      <c r="I69" s="20"/>
      <c r="J69" s="20"/>
      <c r="K69" s="20"/>
      <c r="L69" s="20"/>
      <c r="M69" s="20"/>
      <c r="N69" s="20"/>
      <c r="O69" s="20"/>
      <c r="P69" s="20"/>
      <c r="Q69" s="20"/>
      <c r="R69" s="20"/>
      <c r="S69" s="20"/>
      <c r="T69" s="20"/>
      <c r="U69" s="20"/>
      <c r="V69" s="20"/>
    </row>
    <row r="70" spans="1:22" x14ac:dyDescent="0.3">
      <c r="A70" s="20"/>
      <c r="B70" s="20"/>
      <c r="C70" s="20"/>
      <c r="D70" s="20"/>
      <c r="E70" s="20"/>
      <c r="F70" s="20"/>
      <c r="G70" s="20"/>
      <c r="H70" s="20"/>
      <c r="I70" s="20"/>
      <c r="J70" s="20"/>
      <c r="K70" s="20"/>
      <c r="L70" s="20"/>
      <c r="M70" s="20"/>
      <c r="N70" s="20"/>
      <c r="O70" s="20"/>
      <c r="P70" s="20"/>
      <c r="Q70" s="20"/>
      <c r="R70" s="20"/>
      <c r="S70" s="20"/>
      <c r="T70" s="20"/>
      <c r="U70" s="20"/>
      <c r="V70" s="20"/>
    </row>
    <row r="71" spans="1:22" x14ac:dyDescent="0.3">
      <c r="A71" s="20"/>
      <c r="B71" s="20"/>
      <c r="C71" s="20"/>
      <c r="D71" s="20"/>
      <c r="E71" s="20"/>
      <c r="F71" s="20"/>
      <c r="G71" s="20"/>
      <c r="H71" s="20"/>
      <c r="I71" s="20"/>
      <c r="J71" s="20"/>
      <c r="K71" s="20"/>
      <c r="L71" s="20"/>
      <c r="M71" s="20"/>
      <c r="N71" s="20"/>
      <c r="O71" s="20"/>
      <c r="P71" s="20"/>
      <c r="Q71" s="20"/>
      <c r="R71" s="20"/>
      <c r="S71" s="20"/>
      <c r="T71" s="20"/>
      <c r="U71" s="20"/>
      <c r="V71" s="20"/>
    </row>
    <row r="72" spans="1:22" x14ac:dyDescent="0.3">
      <c r="A72" s="20"/>
      <c r="B72" s="20"/>
      <c r="C72" s="20"/>
      <c r="D72" s="20"/>
      <c r="E72" s="20"/>
      <c r="F72" s="20"/>
      <c r="G72" s="20"/>
      <c r="H72" s="20"/>
      <c r="I72" s="20"/>
      <c r="J72" s="20"/>
      <c r="K72" s="20"/>
      <c r="L72" s="20"/>
      <c r="M72" s="20"/>
      <c r="N72" s="20"/>
      <c r="O72" s="20"/>
      <c r="P72" s="20"/>
      <c r="Q72" s="20"/>
      <c r="R72" s="20"/>
      <c r="S72" s="20"/>
      <c r="T72" s="20"/>
      <c r="U72" s="20"/>
      <c r="V72" s="20"/>
    </row>
    <row r="73" spans="1:22" x14ac:dyDescent="0.3">
      <c r="A73" s="20"/>
      <c r="B73" s="20"/>
      <c r="C73" s="20"/>
      <c r="D73" s="20"/>
      <c r="E73" s="20"/>
      <c r="F73" s="20"/>
      <c r="G73" s="20"/>
      <c r="H73" s="20"/>
      <c r="I73" s="20"/>
      <c r="J73" s="20"/>
      <c r="K73" s="20"/>
      <c r="L73" s="20"/>
      <c r="M73" s="20"/>
      <c r="N73" s="20"/>
      <c r="O73" s="20"/>
      <c r="P73" s="20"/>
      <c r="Q73" s="20"/>
      <c r="R73" s="20"/>
      <c r="S73" s="20"/>
      <c r="T73" s="20"/>
      <c r="U73" s="20"/>
      <c r="V73" s="20"/>
    </row>
    <row r="74" spans="1:22" x14ac:dyDescent="0.3">
      <c r="A74" s="20"/>
      <c r="B74" s="20"/>
      <c r="C74" s="20"/>
      <c r="D74" s="20"/>
      <c r="E74" s="20"/>
      <c r="F74" s="20"/>
      <c r="G74" s="20"/>
      <c r="H74" s="20"/>
      <c r="I74" s="20"/>
      <c r="J74" s="20"/>
      <c r="K74" s="20"/>
      <c r="L74" s="20"/>
      <c r="M74" s="20"/>
      <c r="N74" s="20"/>
      <c r="O74" s="20"/>
      <c r="P74" s="20"/>
      <c r="Q74" s="20"/>
      <c r="R74" s="20"/>
      <c r="S74" s="20"/>
      <c r="T74" s="20"/>
      <c r="U74" s="20"/>
      <c r="V74" s="20"/>
    </row>
    <row r="75" spans="1:22" x14ac:dyDescent="0.3">
      <c r="A75" s="20"/>
      <c r="B75" s="20"/>
      <c r="C75" s="20"/>
      <c r="D75" s="20"/>
      <c r="E75" s="20"/>
      <c r="F75" s="20"/>
      <c r="G75" s="20"/>
      <c r="H75" s="20"/>
      <c r="I75" s="20"/>
      <c r="J75" s="20"/>
      <c r="K75" s="20"/>
      <c r="L75" s="20"/>
      <c r="M75" s="20"/>
      <c r="N75" s="20"/>
      <c r="O75" s="20"/>
      <c r="P75" s="20"/>
      <c r="Q75" s="20"/>
      <c r="R75" s="20"/>
      <c r="S75" s="20"/>
      <c r="T75" s="20"/>
      <c r="U75" s="20"/>
      <c r="V75" s="20"/>
    </row>
  </sheetData>
  <mergeCells count="4">
    <mergeCell ref="J25:L28"/>
    <mergeCell ref="K29:L29"/>
    <mergeCell ref="K30:L30"/>
    <mergeCell ref="K31:L31"/>
  </mergeCells>
  <conditionalFormatting sqref="N16:R32">
    <cfRule type="dataBar" priority="2">
      <dataBar>
        <cfvo type="min"/>
        <cfvo type="max"/>
        <color rgb="FF638EC6"/>
      </dataBar>
      <extLst>
        <ext xmlns:x14="http://schemas.microsoft.com/office/spreadsheetml/2009/9/main" uri="{B025F937-C7B1-47D3-B67F-A62EFF666E3E}">
          <x14:id>{D3FB8B8F-30F1-4674-A69C-641BCF495931}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3FB8B8F-30F1-4674-A69C-641BCF495931}">
            <x14:dataBar minLength="0" maxLength="100" border="1" negativeBarBorderColorSameAsPositive="0">
              <x14:cfvo type="autoMin"/>
              <x14:cfvo type="autoMax"/>
              <x14:borderColor rgb="FF638EC6"/>
              <x14:negativeFillColor rgb="FFFF0000"/>
              <x14:negativeBorderColor rgb="FFFF0000"/>
              <x14:axisColor rgb="FF000000"/>
            </x14:dataBar>
          </x14:cfRule>
          <xm:sqref>N16:R32</xm:sqref>
        </x14:conditionalFormatting>
        <x14:conditionalFormatting xmlns:xm="http://schemas.microsoft.com/office/excel/2006/main">
          <x14:cfRule type="expression" priority="1" id="{3C3FE072-7E71-4FEB-8849-6F44025B8323}">
            <xm:f>N$14=Pivots!$A$43</xm:f>
            <x14:dxf>
              <fill>
                <patternFill>
                  <bgColor rgb="FFFBDE75"/>
                </patternFill>
              </fill>
              <border>
                <left style="dashDotDot">
                  <color rgb="FFFF9900"/>
                </left>
                <right style="dashDotDot">
                  <color rgb="FFFF9900"/>
                </right>
                <vertical/>
                <horizontal/>
              </border>
            </x14:dxf>
          </x14:cfRule>
          <xm:sqref>N14:R32</xm:sqref>
        </x14:conditionalFormatting>
      </x14:conditionalFormattings>
    </ex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D10" sqref="D10"/>
    </sheetView>
  </sheetViews>
  <sheetFormatPr defaultRowHeight="14.4" x14ac:dyDescent="0.3"/>
  <cols>
    <col min="5" max="5" width="10.8984375" customWidth="1"/>
    <col min="6" max="6" width="9.8984375" customWidth="1"/>
  </cols>
  <sheetData>
    <row r="2" spans="5:6" x14ac:dyDescent="0.3">
      <c r="E2" t="s">
        <v>1039</v>
      </c>
      <c r="F2" t="s">
        <v>1040</v>
      </c>
    </row>
    <row r="3" spans="5:6" ht="25.5" customHeight="1" x14ac:dyDescent="0.3">
      <c r="E3" t="s">
        <v>11</v>
      </c>
      <c r="F3" t="e" vm="2">
        <v>#VALUE!</v>
      </c>
    </row>
    <row r="4" spans="5:6" ht="25.5" customHeight="1" x14ac:dyDescent="0.3">
      <c r="E4" t="s">
        <v>9</v>
      </c>
      <c r="F4" t="e" vm="3">
        <v>#VALUE!</v>
      </c>
    </row>
    <row r="5" spans="5:6" ht="25.5" customHeight="1" x14ac:dyDescent="0.3">
      <c r="E5" t="s">
        <v>6</v>
      </c>
      <c r="F5" t="e" vm="4">
        <v>#VALUE!</v>
      </c>
    </row>
    <row r="6" spans="5:6" ht="25.5" customHeight="1" x14ac:dyDescent="0.3">
      <c r="E6" t="s">
        <v>13</v>
      </c>
      <c r="F6" t="e" vm="5">
        <v>#VALUE!</v>
      </c>
    </row>
    <row r="7" spans="5:6" ht="25.5" customHeight="1" x14ac:dyDescent="0.3">
      <c r="E7" t="s">
        <v>10</v>
      </c>
      <c r="F7" t="e" vm="6">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Pivots</vt:lpstr>
      <vt:lpstr>Data</vt:lpstr>
      <vt:lpstr>Customer Center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Sai Manya Sri Mahanthi</cp:lastModifiedBy>
  <dcterms:created xsi:type="dcterms:W3CDTF">2021-03-14T20:21:32Z</dcterms:created>
  <dcterms:modified xsi:type="dcterms:W3CDTF">2026-01-08T11:28:38Z</dcterms:modified>
</cp:coreProperties>
</file>